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 &amp; Assumptions" sheetId="1" state="visible" r:id="rId3"/>
    <sheet name="WACC" sheetId="2" state="visible" r:id="rId4"/>
    <sheet name="DCF Model" sheetId="3" state="visible" r:id="rId5"/>
    <sheet name="Trading Comps" sheetId="4" state="visible" r:id="rId6"/>
    <sheet name="Precedent Transactions" sheetId="5" state="visible" r:id="rId7"/>
    <sheet name="Football Field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<sst xmlns="http://schemas.openxmlformats.org/spreadsheetml/2006/main" count="209" uniqueCount="190">
  <si>
    <t xml:space="preserve">Diageo plc (LSE: DGE / NYSE: DEO)</t>
  </si>
  <si>
    <t xml:space="preserve">Discounted Cash Flow, Trading Comparables &amp; Precedent Transaction Analysis</t>
  </si>
  <si>
    <t xml:space="preserve">Rebuilt on FY2026A results (year ended 30 Jun 2026, published 6 Aug 2026) | Valuation date: 2 October 2026</t>
  </si>
  <si>
    <t xml:space="preserve">COMPANY SNAPSHOT</t>
  </si>
  <si>
    <t xml:space="preserve">Share price (DEO, last close 29-Sep-2026)</t>
  </si>
  <si>
    <t xml:space="preserve">macrotrends.net / Yahoo Finance, confirmed close 29 Sep 2026</t>
  </si>
  <si>
    <t xml:space="preserve">Diluted shares outstanding (mm, ADR-equivalent)</t>
  </si>
  <si>
    <t xml:space="preserve">Yahoo Finance; verified price x shares = Yahoo's own market cap to within 0.01%</t>
  </si>
  <si>
    <t xml:space="preserve">Market capitalisation ($mm)</t>
  </si>
  <si>
    <t xml:space="preserve">Share price x shares outstanding</t>
  </si>
  <si>
    <t xml:space="preserve">Net debt, FY2026A ($mm)</t>
  </si>
  <si>
    <t xml:space="preserve">Diageo FY26 Preliminary Results, 6-Aug-2026: 'Net debt as at 30 June 2026 was $20.5 billion'</t>
  </si>
  <si>
    <t xml:space="preserve">Enterprise value, current ($mm)</t>
  </si>
  <si>
    <t xml:space="preserve">Market cap + net debt</t>
  </si>
  <si>
    <t xml:space="preserve">Fiscal year end</t>
  </si>
  <si>
    <t xml:space="preserve">30-Jun</t>
  </si>
  <si>
    <t xml:space="preserve">Diageo FY runs 1 Jul - 30 Jun</t>
  </si>
  <si>
    <t xml:space="preserve">FY2026A KEY FINANCIALS ($mm, unless noted)</t>
  </si>
  <si>
    <t xml:space="preserve">Net sales (reported)</t>
  </si>
  <si>
    <t xml:space="preserve">Diageo FY26 Preliminary Results, 6-Aug-2026 (down 3.0% YoY; organic -2.0%)</t>
  </si>
  <si>
    <t xml:space="preserve">Operating profit before exceptional items</t>
  </si>
  <si>
    <t xml:space="preserve">Diageo FY26 Prelim Results (adjusted operating profit, +2.0% organic YoY)</t>
  </si>
  <si>
    <t xml:space="preserve">  Operating margin before exceptional items</t>
  </si>
  <si>
    <t xml:space="preserve">28.9% reported; +116bps YoY despite lower sales, driven by cost savings</t>
  </si>
  <si>
    <t xml:space="preserve">Adjusted EBITDA (co.-reported)</t>
  </si>
  <si>
    <t xml:space="preserve">Diageo FY26 Prelim Results: 'adjusted EBITDA of $6,650 million (2025: $6,645 million)'</t>
  </si>
  <si>
    <t xml:space="preserve">D&amp;A (derived: adj. EBITDA less adj. EBIT, incl. JV income)</t>
  </si>
  <si>
    <t xml:space="preserve">Company's own EBITDA definition includes JV equity income, so this is a slight over-estimate of pure D&amp;A</t>
  </si>
  <si>
    <t xml:space="preserve">Net capital expenditure</t>
  </si>
  <si>
    <t xml:space="preserve">Diageo FY26 Q3 trading statement: capex guided 'at the lower end of $1.2-1.3bn' (FY25: $1.5bn)</t>
  </si>
  <si>
    <t xml:space="preserve">Net increase in working capital (cash outflow, est.)</t>
  </si>
  <si>
    <t xml:space="preserve">Estimated, scaled from FY25A ($77mm) for lower FY26 sales base — not separately disclosed in search results</t>
  </si>
  <si>
    <t xml:space="preserve">Tax rate assumption</t>
  </si>
  <si>
    <t xml:space="preserve">UK statutory corporation tax rate, used as a clean forward assumption</t>
  </si>
  <si>
    <t xml:space="preserve">WHAT CHANGED FROM THE FIRST VERSION OF THIS MODEL</t>
  </si>
  <si>
    <t xml:space="preserve">-  Base year moved from FY2025A to FY2026A (year ended 30 Jun 2026, results published 6 Aug 2026) — the first version used</t>
  </si>
  <si>
    <t xml:space="preserve">-  stale FY2025A financials despite FY2026A being public before the note's original date.</t>
  </si>
  <si>
    <t xml:space="preserve">-  FY2026A margin before exceptionals is 28.9% (+116bps YoY) — already close to the FIRST model's FY2030E target of 29.8%,</t>
  </si>
  <si>
    <t xml:space="preserve">-  because Diageo launched a new 'operating framework redesign' (c.$850m savings) and supply-chain programme (c.$150m)</t>
  </si>
  <si>
    <t xml:space="preserve">-  in FY2026, not modelled in the first version. Forecast margin/capex paths below are revised accordingly.</t>
  </si>
  <si>
    <t xml:space="preserve">-  Net sales fell 3.0% YoY in FY2026A (organic -2.0%) — the first model had assumed FY2026E growth of +1.0%; the revised</t>
  </si>
  <si>
    <t xml:space="preserve">-  forecast below starts from this lower, now-actual base rather than an estimate.</t>
  </si>
  <si>
    <t xml:space="preserve">Weighted Average Cost of Capital — CAPM Build-Up</t>
  </si>
  <si>
    <t xml:space="preserve">COST OF EQUITY (CAPM)</t>
  </si>
  <si>
    <t xml:space="preserve">Risk-free rate (US 10-year Treasury)</t>
  </si>
  <si>
    <t xml:space="preserve">U.S. 10Y Treasury yield, mid-Sep 2026 (unchanged from first version; not re-verified this update)</t>
  </si>
  <si>
    <t xml:space="preserve">Levered beta (5Y monthly, blended)</t>
  </si>
  <si>
    <t xml:space="preserve">Providers disperse 0.30-0.56; 0.60 used at the upper end, consistent with the independent WACC cross-check below</t>
  </si>
  <si>
    <t xml:space="preserve">Equity risk premium (US, long-run)</t>
  </si>
  <si>
    <t xml:space="preserve">Standard long-run US ERP assumption (~5.5%)</t>
  </si>
  <si>
    <t xml:space="preserve">Cost of equity</t>
  </si>
  <si>
    <t xml:space="preserve">Rf + Beta x ERP</t>
  </si>
  <si>
    <t xml:space="preserve">COST OF DEBT</t>
  </si>
  <si>
    <t xml:space="preserve">Pre-tax cost of debt</t>
  </si>
  <si>
    <t xml:space="preserve">Approx. Diageo blended cost of debt, 5-6% range</t>
  </si>
  <si>
    <t xml:space="preserve">Marginal tax rate</t>
  </si>
  <si>
    <t xml:space="preserve">UK statutory corporation tax rate</t>
  </si>
  <si>
    <t xml:space="preserve">After-tax cost of debt</t>
  </si>
  <si>
    <t xml:space="preserve">Pre-tax cost of debt x (1 - tax rate)</t>
  </si>
  <si>
    <t xml:space="preserve">CAPITAL STRUCTURE WEIGHTS</t>
  </si>
  <si>
    <t xml:space="preserve">Market value of equity ($mm)</t>
  </si>
  <si>
    <t xml:space="preserve">Cover tab — current market capitalisation</t>
  </si>
  <si>
    <t xml:space="preserve">Net debt ($mm)</t>
  </si>
  <si>
    <t xml:space="preserve">Cover tab — FY26A net debt</t>
  </si>
  <si>
    <t xml:space="preserve">Total capital ($mm)</t>
  </si>
  <si>
    <t xml:space="preserve">Equity + net debt</t>
  </si>
  <si>
    <t xml:space="preserve">Weight of equity (E/V)</t>
  </si>
  <si>
    <t xml:space="preserve">=</t>
  </si>
  <si>
    <t xml:space="preserve">Weight of debt (D/V)</t>
  </si>
  <si>
    <t xml:space="preserve">WACC</t>
  </si>
  <si>
    <t xml:space="preserve">Weighted Average Cost of Capital</t>
  </si>
  <si>
    <t xml:space="preserve">(E/V x Cost of equity) + (D/V x After-tax cost of debt)</t>
  </si>
  <si>
    <t xml:space="preserve">Diageo plc — Unlevered Free Cash Flow DCF (FY2027E-FY2031E)</t>
  </si>
  <si>
    <t xml:space="preserve">$ millions</t>
  </si>
  <si>
    <t xml:space="preserve">FY2026A</t>
  </si>
  <si>
    <t xml:space="preserve">FY2027E</t>
  </si>
  <si>
    <t xml:space="preserve">FY2028E</t>
  </si>
  <si>
    <t xml:space="preserve">FY2029E</t>
  </si>
  <si>
    <t xml:space="preserve">FY2030E</t>
  </si>
  <si>
    <t xml:space="preserve">FY2031E</t>
  </si>
  <si>
    <t xml:space="preserve">Net sales</t>
  </si>
  <si>
    <t xml:space="preserve">  % growth (organic, ex-FX/disposals)</t>
  </si>
  <si>
    <t xml:space="preserve">FY2026A was -3.0% reported / -2.0% organic. Forecast assumes gradual stabilisation given the 3-year cost/profit framework guided alongside FY26 results (not an explicit sales target) rather than a strong top-line recovery.</t>
  </si>
  <si>
    <t xml:space="preserve">EBIT margin (before exceptional items)</t>
  </si>
  <si>
    <t xml:space="preserve">FY26A margin already 28.9% after $540m of in-year savings. Forecast phases in the remaining guided c.$1bn 3-year savings programme (c.$850m operating-framework + c.$150m supply-chain, c.40%/65% landing FY27/FY28) toward a c.30% medium-term margin.</t>
  </si>
  <si>
    <t xml:space="preserve">EBIT</t>
  </si>
  <si>
    <t xml:space="preserve">Tax rate</t>
  </si>
  <si>
    <t xml:space="preserve">Less: taxes on EBIT</t>
  </si>
  <si>
    <t xml:space="preserve">NOPAT</t>
  </si>
  <si>
    <t xml:space="preserve">D&amp;A (% of net sales)</t>
  </si>
  <si>
    <t xml:space="preserve">FY26A D&amp;A (derived from adj. EBITDA less adj. EBIT) is ~4.4% of sales; held broadly flat.</t>
  </si>
  <si>
    <t xml:space="preserve">Add: D&amp;A</t>
  </si>
  <si>
    <t xml:space="preserve">Capex (% of net sales)</t>
  </si>
  <si>
    <t xml:space="preserve">FY26A capex already down to 6.1% of sales (from 7.6% in FY25A), ahead of the first model's glide path. Forecast assumes a further gradual decline given continued capital discipline.</t>
  </si>
  <si>
    <t xml:space="preserve">Less: capital expenditure</t>
  </si>
  <si>
    <t xml:space="preserve">Increase in net working capital (% of sales)</t>
  </si>
  <si>
    <t xml:space="preserve">Held small and roughly proportional to sales growth, consistent with FY25A/FY26A levels.</t>
  </si>
  <si>
    <t xml:space="preserve">Less: increase in net working capital</t>
  </si>
  <si>
    <t xml:space="preserve">Unlevered free cash flow</t>
  </si>
  <si>
    <t xml:space="preserve">Discount period</t>
  </si>
  <si>
    <t xml:space="preserve">Discount factor</t>
  </si>
  <si>
    <t xml:space="preserve">PV of unlevered FCF</t>
  </si>
  <si>
    <t xml:space="preserve">TERMINAL VALUE — GORDON GROWTH METHOD</t>
  </si>
  <si>
    <t xml:space="preserve">Terminal growth rate (g)</t>
  </si>
  <si>
    <t xml:space="preserve">Terminal value at end of FY2031E</t>
  </si>
  <si>
    <t xml:space="preserve">PV of terminal value</t>
  </si>
  <si>
    <t xml:space="preserve">ENTERPRISE &amp; EQUITY VALUE BRIDGE</t>
  </si>
  <si>
    <t xml:space="preserve">Sum of PV of explicit FCF (FY27E-FY31E)</t>
  </si>
  <si>
    <t xml:space="preserve">Implied enterprise value</t>
  </si>
  <si>
    <t xml:space="preserve">TV as % of EV:</t>
  </si>
  <si>
    <t xml:space="preserve">Less: net debt</t>
  </si>
  <si>
    <t xml:space="preserve">Implied equity value</t>
  </si>
  <si>
    <t xml:space="preserve">Diluted shares outstanding (mm)</t>
  </si>
  <si>
    <t xml:space="preserve">Implied value per share</t>
  </si>
  <si>
    <t xml:space="preserve">Current share price (DEO)</t>
  </si>
  <si>
    <t xml:space="preserve">Implied upside / (downside)</t>
  </si>
  <si>
    <t xml:space="preserve">SENSITIVITY — IMPLIED SHARE PRICE ($/share)</t>
  </si>
  <si>
    <t xml:space="preserve">Rows: terminal growth rate (g)  |  Columns: WACC</t>
  </si>
  <si>
    <t xml:space="preserve">g  \  WACC</t>
  </si>
  <si>
    <t xml:space="preserve">Trading Comparables — Listed Beverage Alcohol Peers</t>
  </si>
  <si>
    <t xml:space="preserve">Peer multiples unchanged from first version (dealascent.com Q2 2026 report; not re-sourced this update). Diageo's own EBITDA base updated to FY2026A company-reported figure.</t>
  </si>
  <si>
    <t xml:space="preserve">Company</t>
  </si>
  <si>
    <t xml:space="preserve">Country</t>
  </si>
  <si>
    <t xml:space="preserve">Mkt Cap (local ccy, mm)</t>
  </si>
  <si>
    <t xml:space="preserve">EV/EBITDA 2026E</t>
  </si>
  <si>
    <t xml:space="preserve">EBITDA Margin 2026E</t>
  </si>
  <si>
    <t xml:space="preserve">Rémy Cointreau SA</t>
  </si>
  <si>
    <t xml:space="preserve">France</t>
  </si>
  <si>
    <t xml:space="preserve">Constellation Brands</t>
  </si>
  <si>
    <t xml:space="preserve">US</t>
  </si>
  <si>
    <t xml:space="preserve">Davide Campari-Milano N.V.</t>
  </si>
  <si>
    <t xml:space="preserve">Netherlands</t>
  </si>
  <si>
    <t xml:space="preserve">Pernod Ricard</t>
  </si>
  <si>
    <t xml:space="preserve">PEER SET STATISTICS</t>
  </si>
  <si>
    <t xml:space="preserve">Mean EV/EBITDA 2026E</t>
  </si>
  <si>
    <t xml:space="preserve">Median EV/EBITDA 2026E</t>
  </si>
  <si>
    <t xml:space="preserve">Low</t>
  </si>
  <si>
    <t xml:space="preserve">High</t>
  </si>
  <si>
    <t xml:space="preserve">IMPLIED VALUATION OF DIAGEO (peer multiples x Diageo FY26A adj. EBITDA)</t>
  </si>
  <si>
    <t xml:space="preserve">Diageo FY2026A adjusted EBITDA (company-reported)</t>
  </si>
  <si>
    <t xml:space="preserve">Basis</t>
  </si>
  <si>
    <t xml:space="preserve">Multiple</t>
  </si>
  <si>
    <t xml:space="preserve">Implied EV ($mm)</t>
  </si>
  <si>
    <t xml:space="preserve">Implied share price</t>
  </si>
  <si>
    <t xml:space="preserve">Median</t>
  </si>
  <si>
    <t xml:space="preserve">Mean</t>
  </si>
  <si>
    <t xml:space="preserve">Precedent Transaction Analysis — Beverage Alcohol M&amp;A</t>
  </si>
  <si>
    <t xml:space="preserve">Deal set unchanged from first version. Diageo's own EBITDA base updated to FY2026A company-reported figure.</t>
  </si>
  <si>
    <t xml:space="preserve">Date</t>
  </si>
  <si>
    <t xml:space="preserve">Target</t>
  </si>
  <si>
    <t xml:space="preserve">Acquirer</t>
  </si>
  <si>
    <t xml:space="preserve">Subsector</t>
  </si>
  <si>
    <t xml:space="preserve">Deal EV ($mm)</t>
  </si>
  <si>
    <t xml:space="preserve">EV/EBITDA</t>
  </si>
  <si>
    <t xml:space="preserve">Source</t>
  </si>
  <si>
    <t xml:space="preserve">Jan-2014</t>
  </si>
  <si>
    <t xml:space="preserve">Beam Inc.</t>
  </si>
  <si>
    <t xml:space="preserve">Suntory Holdings</t>
  </si>
  <si>
    <t xml:space="preserve">Spirits (bourbon/global)</t>
  </si>
  <si>
    <t xml:space="preserve">just-drinks.com, Spirits Acquisition Multiples (Nomura data)</t>
  </si>
  <si>
    <t xml:space="preserve">Dec-2025</t>
  </si>
  <si>
    <t xml:space="preserve">East African Breweries (EABL)</t>
  </si>
  <si>
    <t xml:space="preserve">Asahi Group Holdings</t>
  </si>
  <si>
    <t xml:space="preserve">Beer &amp; spirits (East Africa)</t>
  </si>
  <si>
    <t xml:space="preserve">dealascent.com, Beverages M&amp;A Q2 2026 report</t>
  </si>
  <si>
    <t xml:space="preserve">May-2026</t>
  </si>
  <si>
    <t xml:space="preserve">Averna &amp; Zedda Piras</t>
  </si>
  <si>
    <t xml:space="preserve">Illva Saronno</t>
  </si>
  <si>
    <t xml:space="preserve">Spirits (Italian amari/liqueurs)</t>
  </si>
  <si>
    <t xml:space="preserve">Jan-2019</t>
  </si>
  <si>
    <t xml:space="preserve">Fuller, Smith &amp; Turner (beer business)</t>
  </si>
  <si>
    <t xml:space="preserve">Beer (UK)</t>
  </si>
  <si>
    <t xml:space="preserve">n/d</t>
  </si>
  <si>
    <t xml:space="preserve">Craft Brew Alliance DEFM14A (2020), Goldman Sachs selected transactions</t>
  </si>
  <si>
    <t xml:space="preserve">(Statistics computed on the three spirits-only deals; the Fuller/Asahi UK beer deal shown for reference, excluded as a different-subsector outlier.)</t>
  </si>
  <si>
    <t xml:space="preserve">Mean (spirits deals only)</t>
  </si>
  <si>
    <t xml:space="preserve">Median (spirits deals only)</t>
  </si>
  <si>
    <t xml:space="preserve">Low (spirits deals only)</t>
  </si>
  <si>
    <t xml:space="preserve">High (spirits deals only)</t>
  </si>
  <si>
    <t xml:space="preserve">IMPLIED VALUATION OF DIAGEO (illustrative — precedent multiples x FY26A adj. EBITDA)</t>
  </si>
  <si>
    <t xml:space="preserve">Diageo FY2026A adjusted EBITDA</t>
  </si>
  <si>
    <t xml:space="preserve">Diageo plc — Valuation Summary ('Football Field')</t>
  </si>
  <si>
    <t xml:space="preserve">Implied value per share ($) across methodologies — rebuilt on FY2026A base year</t>
  </si>
  <si>
    <t xml:space="preserve">Methodology</t>
  </si>
  <si>
    <t xml:space="preserve">Base / Median</t>
  </si>
  <si>
    <t xml:space="preserve">DCF — Gordon Growth (sensitivity range)</t>
  </si>
  <si>
    <t xml:space="preserve">Trading Comps (EV/EBITDA)</t>
  </si>
  <si>
    <t xml:space="preserve">Precedent Transactions (EV/EBITDA)</t>
  </si>
  <si>
    <t xml:space="preserve">Base (Low)</t>
  </si>
  <si>
    <t xml:space="preserve">Range (High-Low)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</si>
</sst>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\$#,##0.00"/>
    <numFmt numFmtId="166" formatCode="#,##0.0"/>
    <numFmt numFmtId="167" formatCode="\$#,##0;&quot;($&quot;#,##0\);\-"/>
    <numFmt numFmtId="168" formatCode="0.0%"/>
    <numFmt numFmtId="169" formatCode="0.00%"/>
    <numFmt numFmtId="170" formatCode="0.00"/>
    <numFmt numFmtId="171" formatCode="0"/>
    <numFmt numFmtId="172" formatCode="0.000"/>
    <numFmt numFmtId="173" formatCode="#,##0"/>
    <numFmt numFmtId="174" formatCode="0.0\x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11"/>
      <color rgb="FF1F3864"/>
      <name val="Arial"/>
      <family val="0"/>
      <charset val="1"/>
    </font>
    <font>
      <i val="true"/>
      <sz val="8"/>
      <color rgb="FF808080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D9E1F2"/>
        <bgColor rgb="FFD9D9D9"/>
      </patternFill>
    </fill>
    <fill>
      <patternFill patternType="solid">
        <fgColor rgb="FFFFFFCC"/>
        <bgColor rgb="FFFFFFFF"/>
      </patternFill>
    </fill>
    <fill>
      <patternFill patternType="solid">
        <fgColor rgb="FFF2F2F2"/>
        <bgColor rgb="FFFFFFFF"/>
      </patternFill>
    </fill>
    <fill>
      <patternFill patternType="solid">
        <fgColor rgb="FF1F3864"/>
        <bgColor rgb="FF333333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 style="double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0504D"/>
      <rgbColor rgb="FFFFFF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878787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Diageo Implied Value per Share — Football Field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stacked"/>
        <c:varyColors val="0"/>
        <c:ser>
          <c:idx val="0"/>
          <c:order val="0"/>
          <c:tx>
            <c:strRef>
              <c:f>'Football Field'!C12</c:f>
              <c:strCache>
                <c:ptCount val="1"/>
                <c:pt idx="0">
                  <c:v>Base (Low)</c:v>
                </c:pt>
              </c:strCache>
            </c:strRef>
          </c:tx>
          <c:spPr>
            <a:noFill/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'Football Field'!$B$13:$B$15</c:f>
              <c:strCache>
                <c:ptCount val="3"/>
                <c:pt idx="0">
                  <c:v>DCF — Gordon Growth (sensitivity range)</c:v>
                </c:pt>
                <c:pt idx="1">
                  <c:v>Trading Comps (EV/EBITDA)</c:v>
                </c:pt>
                <c:pt idx="2">
                  <c:v>Precedent Transactions (EV/EBITDA)</c:v>
                </c:pt>
              </c:strCache>
            </c:strRef>
          </c:cat>
          <c:val>
            <c:numRef>
              <c:f>'Football Field'!$C$13:$C$15</c:f>
              <c:numCache>
                <c:formatCode>\$#,##0.00</c:formatCode>
                <c:ptCount val="3"/>
                <c:pt idx="0">
                  <c:v>74.620126162404</c:v>
                </c:pt>
                <c:pt idx="1">
                  <c:v>70.7861126101817</c:v>
                </c:pt>
                <c:pt idx="2">
                  <c:v>62.4123043712898</c:v>
                </c:pt>
              </c:numCache>
            </c:numRef>
          </c:val>
        </c:ser>
        <c:ser>
          <c:idx val="1"/>
          <c:order val="1"/>
          <c:tx>
            <c:strRef>
              <c:f>'Football Field'!D12</c:f>
              <c:strCache>
                <c:ptCount val="1"/>
                <c:pt idx="0">
                  <c:v>Range (High-Low)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'Football Field'!$B$13:$B$15</c:f>
              <c:strCache>
                <c:ptCount val="3"/>
                <c:pt idx="0">
                  <c:v>DCF — Gordon Growth (sensitivity range)</c:v>
                </c:pt>
                <c:pt idx="1">
                  <c:v>Trading Comps (EV/EBITDA)</c:v>
                </c:pt>
                <c:pt idx="2">
                  <c:v>Precedent Transactions (EV/EBITDA)</c:v>
                </c:pt>
              </c:strCache>
            </c:strRef>
          </c:cat>
          <c:val>
            <c:numRef>
              <c:f>'Football Field'!$D$13:$D$15</c:f>
              <c:numCache>
                <c:formatCode>\$#,##0.00</c:formatCode>
                <c:ptCount val="3"/>
                <c:pt idx="0">
                  <c:v>132.241078931151</c:v>
                </c:pt>
                <c:pt idx="1">
                  <c:v>57.4203993524015</c:v>
                </c:pt>
                <c:pt idx="2">
                  <c:v>139.962223421479</c:v>
                </c:pt>
              </c:numCache>
            </c:numRef>
          </c:val>
        </c:ser>
        <c:gapWidth val="150"/>
        <c:overlap val="100"/>
        <c:axId val="40346565"/>
        <c:axId val="20968960"/>
      </c:barChart>
      <c:catAx>
        <c:axId val="40346565"/>
        <c:scaling>
          <c:orientation val="minMax"/>
        </c:scaling>
        <c:delete val="0"/>
        <c:axPos val="b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Implied share price ($)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0968960"/>
        <c:crosses val="autoZero"/>
        <c:auto val="1"/>
        <c:lblAlgn val="ctr"/>
        <c:lblOffset val="100"/>
        <c:noMultiLvlLbl val="0"/>
      </c:catAx>
      <c:valAx>
        <c:axId val="2096896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034656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15</xdr:row>
      <xdr:rowOff>160560</xdr:rowOff>
    </xdr:from>
    <xdr:to>
      <xdr:col>5</xdr:col>
      <xdr:colOff>981720</xdr:colOff>
      <xdr:row>29</xdr:row>
      <xdr:rowOff>13320</xdr:rowOff>
    </xdr:to>
    <xdr:graphicFrame>
      <xdr:nvGraphicFramePr>
        <xdr:cNvPr id="0" name="Chart 1"/>
        <xdr:cNvGraphicFramePr/>
      </xdr:nvGraphicFramePr>
      <xdr:xfrm>
        <a:off x="211320" y="3105000"/>
        <a:ext cx="647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3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0"/>
    <col collapsed="false" customWidth="true" hidden="false" outlineLevel="0" max="6" min="3" style="0" width="16"/>
    <col collapsed="false" customWidth="true" hidden="false" outlineLevel="0" max="7" min="7" style="0" width="58"/>
  </cols>
  <sheetData>
    <row r="2" customFormat="false" ht="17.3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4" customFormat="false" ht="15" hidden="false" customHeight="false" outlineLevel="0" collapsed="false">
      <c r="B4" s="3" t="s">
        <v>2</v>
      </c>
    </row>
    <row r="6" customFormat="false" ht="15" hidden="false" customHeight="false" outlineLevel="0" collapsed="false">
      <c r="B6" s="4" t="s">
        <v>3</v>
      </c>
      <c r="C6" s="4"/>
      <c r="D6" s="4"/>
      <c r="E6" s="4"/>
    </row>
    <row r="7" customFormat="false" ht="15" hidden="false" customHeight="false" outlineLevel="0" collapsed="false">
      <c r="B7" s="5" t="s">
        <v>4</v>
      </c>
      <c r="C7" s="6" t="n">
        <v>85.34</v>
      </c>
      <c r="G7" s="3" t="s">
        <v>5</v>
      </c>
    </row>
    <row r="8" customFormat="false" ht="15" hidden="false" customHeight="false" outlineLevel="0" collapsed="false">
      <c r="B8" s="5" t="s">
        <v>6</v>
      </c>
      <c r="C8" s="7" t="n">
        <v>555.9</v>
      </c>
      <c r="G8" s="3" t="s">
        <v>7</v>
      </c>
    </row>
    <row r="9" customFormat="false" ht="15" hidden="false" customHeight="false" outlineLevel="0" collapsed="false">
      <c r="B9" s="5" t="s">
        <v>8</v>
      </c>
      <c r="C9" s="8" t="n">
        <f aca="false">C7*C8</f>
        <v>47440.506</v>
      </c>
      <c r="G9" s="3" t="s">
        <v>9</v>
      </c>
    </row>
    <row r="10" customFormat="false" ht="15" hidden="false" customHeight="false" outlineLevel="0" collapsed="false">
      <c r="B10" s="5" t="s">
        <v>10</v>
      </c>
      <c r="C10" s="9" t="n">
        <v>20500</v>
      </c>
      <c r="G10" s="3" t="s">
        <v>11</v>
      </c>
    </row>
    <row r="11" customFormat="false" ht="15" hidden="false" customHeight="false" outlineLevel="0" collapsed="false">
      <c r="B11" s="5" t="s">
        <v>12</v>
      </c>
      <c r="C11" s="8" t="n">
        <f aca="false">C9+C10</f>
        <v>67940.506</v>
      </c>
      <c r="G11" s="3" t="s">
        <v>13</v>
      </c>
    </row>
    <row r="12" customFormat="false" ht="15" hidden="false" customHeight="false" outlineLevel="0" collapsed="false">
      <c r="B12" s="5" t="s">
        <v>14</v>
      </c>
      <c r="C12" s="10" t="s">
        <v>15</v>
      </c>
      <c r="G12" s="3" t="s">
        <v>16</v>
      </c>
    </row>
    <row r="14" customFormat="false" ht="15" hidden="false" customHeight="false" outlineLevel="0" collapsed="false">
      <c r="B14" s="4" t="s">
        <v>17</v>
      </c>
      <c r="C14" s="4"/>
      <c r="D14" s="4"/>
      <c r="E14" s="4"/>
    </row>
    <row r="15" customFormat="false" ht="15" hidden="false" customHeight="false" outlineLevel="0" collapsed="false">
      <c r="B15" s="5" t="s">
        <v>18</v>
      </c>
      <c r="C15" s="9" t="n">
        <v>19643</v>
      </c>
      <c r="G15" s="3" t="s">
        <v>19</v>
      </c>
    </row>
    <row r="16" customFormat="false" ht="15" hidden="false" customHeight="false" outlineLevel="0" collapsed="false">
      <c r="B16" s="5" t="s">
        <v>20</v>
      </c>
      <c r="C16" s="9" t="n">
        <v>5683</v>
      </c>
      <c r="G16" s="3" t="s">
        <v>21</v>
      </c>
    </row>
    <row r="17" customFormat="false" ht="15" hidden="false" customHeight="false" outlineLevel="0" collapsed="false">
      <c r="B17" s="5" t="s">
        <v>22</v>
      </c>
      <c r="C17" s="11" t="n">
        <f aca="false">C16/C15</f>
        <v>0.289314259532658</v>
      </c>
      <c r="G17" s="3" t="s">
        <v>23</v>
      </c>
    </row>
    <row r="18" customFormat="false" ht="15" hidden="false" customHeight="false" outlineLevel="0" collapsed="false">
      <c r="B18" s="5" t="s">
        <v>24</v>
      </c>
      <c r="C18" s="9" t="n">
        <v>6650</v>
      </c>
      <c r="G18" s="3" t="s">
        <v>25</v>
      </c>
    </row>
    <row r="19" customFormat="false" ht="15" hidden="false" customHeight="false" outlineLevel="0" collapsed="false">
      <c r="B19" s="5" t="s">
        <v>26</v>
      </c>
      <c r="C19" s="8" t="n">
        <f aca="false">C18-C16</f>
        <v>967</v>
      </c>
      <c r="G19" s="3" t="s">
        <v>27</v>
      </c>
    </row>
    <row r="20" customFormat="false" ht="15" hidden="false" customHeight="false" outlineLevel="0" collapsed="false">
      <c r="B20" s="5" t="s">
        <v>28</v>
      </c>
      <c r="C20" s="9" t="n">
        <v>1200</v>
      </c>
      <c r="G20" s="3" t="s">
        <v>29</v>
      </c>
    </row>
    <row r="21" customFormat="false" ht="15" hidden="false" customHeight="false" outlineLevel="0" collapsed="false">
      <c r="B21" s="5" t="s">
        <v>30</v>
      </c>
      <c r="C21" s="9" t="n">
        <v>60</v>
      </c>
      <c r="G21" s="3" t="s">
        <v>31</v>
      </c>
    </row>
    <row r="22" customFormat="false" ht="15" hidden="false" customHeight="false" outlineLevel="0" collapsed="false">
      <c r="B22" s="5" t="s">
        <v>32</v>
      </c>
      <c r="C22" s="12" t="n">
        <v>0.25</v>
      </c>
      <c r="G22" s="3" t="s">
        <v>33</v>
      </c>
    </row>
    <row r="24" customFormat="false" ht="15" hidden="false" customHeight="false" outlineLevel="0" collapsed="false">
      <c r="B24" s="4" t="s">
        <v>34</v>
      </c>
      <c r="C24" s="4"/>
      <c r="D24" s="4"/>
      <c r="E24" s="4"/>
      <c r="F24" s="4"/>
    </row>
    <row r="25" customFormat="false" ht="15" hidden="false" customHeight="false" outlineLevel="0" collapsed="false">
      <c r="B25" s="13" t="s">
        <v>35</v>
      </c>
      <c r="C25" s="13"/>
      <c r="D25" s="13"/>
      <c r="E25" s="13"/>
      <c r="F25" s="13"/>
      <c r="G25" s="13"/>
    </row>
    <row r="26" customFormat="false" ht="15" hidden="false" customHeight="false" outlineLevel="0" collapsed="false">
      <c r="B26" s="13" t="s">
        <v>36</v>
      </c>
      <c r="C26" s="13"/>
      <c r="D26" s="13"/>
      <c r="E26" s="13"/>
      <c r="F26" s="13"/>
      <c r="G26" s="13"/>
    </row>
    <row r="27" customFormat="false" ht="15" hidden="false" customHeight="false" outlineLevel="0" collapsed="false">
      <c r="B27" s="13" t="s">
        <v>37</v>
      </c>
      <c r="C27" s="13"/>
      <c r="D27" s="13"/>
      <c r="E27" s="13"/>
      <c r="F27" s="13"/>
      <c r="G27" s="13"/>
    </row>
    <row r="28" customFormat="false" ht="15" hidden="false" customHeight="false" outlineLevel="0" collapsed="false">
      <c r="B28" s="13" t="s">
        <v>38</v>
      </c>
      <c r="C28" s="13"/>
      <c r="D28" s="13"/>
      <c r="E28" s="13"/>
      <c r="F28" s="13"/>
      <c r="G28" s="13"/>
    </row>
    <row r="29" customFormat="false" ht="15" hidden="false" customHeight="false" outlineLevel="0" collapsed="false">
      <c r="B29" s="13" t="s">
        <v>39</v>
      </c>
      <c r="C29" s="13"/>
      <c r="D29" s="13"/>
      <c r="E29" s="13"/>
      <c r="F29" s="13"/>
      <c r="G29" s="13"/>
    </row>
    <row r="30" customFormat="false" ht="15" hidden="false" customHeight="false" outlineLevel="0" collapsed="false">
      <c r="B30" s="13" t="s">
        <v>40</v>
      </c>
      <c r="C30" s="13"/>
      <c r="D30" s="13"/>
      <c r="E30" s="13"/>
      <c r="F30" s="13"/>
      <c r="G30" s="13"/>
    </row>
    <row r="31" customFormat="false" ht="15" hidden="false" customHeight="false" outlineLevel="0" collapsed="false">
      <c r="B31" s="13" t="s">
        <v>41</v>
      </c>
      <c r="C31" s="13"/>
      <c r="D31" s="13"/>
      <c r="E31" s="13"/>
      <c r="F31" s="13"/>
      <c r="G31" s="13"/>
    </row>
  </sheetData>
  <mergeCells count="10">
    <mergeCell ref="B6:E6"/>
    <mergeCell ref="B14:E14"/>
    <mergeCell ref="B24:F24"/>
    <mergeCell ref="B25:G25"/>
    <mergeCell ref="B26:G26"/>
    <mergeCell ref="B27:G27"/>
    <mergeCell ref="B28:G28"/>
    <mergeCell ref="B29:G29"/>
    <mergeCell ref="B30:G30"/>
    <mergeCell ref="B31:G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2"/>
    <col collapsed="false" customWidth="true" hidden="false" outlineLevel="0" max="4" min="3" style="0" width="16"/>
    <col collapsed="false" customWidth="true" hidden="false" outlineLevel="0" max="5" min="5" style="0" width="55"/>
  </cols>
  <sheetData>
    <row r="2" customFormat="false" ht="17.35" hidden="false" customHeight="false" outlineLevel="0" collapsed="false">
      <c r="B2" s="1" t="s">
        <v>42</v>
      </c>
    </row>
    <row r="4" customFormat="false" ht="15" hidden="false" customHeight="false" outlineLevel="0" collapsed="false">
      <c r="B4" s="4" t="s">
        <v>43</v>
      </c>
      <c r="C4" s="4"/>
      <c r="D4" s="4"/>
    </row>
    <row r="5" customFormat="false" ht="15" hidden="false" customHeight="false" outlineLevel="0" collapsed="false">
      <c r="B5" s="5" t="s">
        <v>44</v>
      </c>
      <c r="C5" s="14" t="n">
        <v>0.0495</v>
      </c>
      <c r="E5" s="3" t="s">
        <v>45</v>
      </c>
    </row>
    <row r="6" customFormat="false" ht="15" hidden="false" customHeight="false" outlineLevel="0" collapsed="false">
      <c r="B6" s="5" t="s">
        <v>46</v>
      </c>
      <c r="C6" s="15" t="n">
        <v>0.6</v>
      </c>
      <c r="E6" s="3" t="s">
        <v>47</v>
      </c>
    </row>
    <row r="7" customFormat="false" ht="15" hidden="false" customHeight="false" outlineLevel="0" collapsed="false">
      <c r="B7" s="5" t="s">
        <v>48</v>
      </c>
      <c r="C7" s="14" t="n">
        <v>0.055</v>
      </c>
      <c r="E7" s="3" t="s">
        <v>49</v>
      </c>
    </row>
    <row r="8" customFormat="false" ht="15" hidden="false" customHeight="false" outlineLevel="0" collapsed="false">
      <c r="B8" s="16" t="s">
        <v>50</v>
      </c>
      <c r="C8" s="17" t="n">
        <f aca="false">C5+C6*C7</f>
        <v>0.0825</v>
      </c>
      <c r="E8" s="3" t="s">
        <v>51</v>
      </c>
    </row>
    <row r="10" customFormat="false" ht="15" hidden="false" customHeight="false" outlineLevel="0" collapsed="false">
      <c r="B10" s="4" t="s">
        <v>52</v>
      </c>
      <c r="C10" s="4"/>
      <c r="D10" s="4"/>
    </row>
    <row r="11" customFormat="false" ht="15" hidden="false" customHeight="false" outlineLevel="0" collapsed="false">
      <c r="B11" s="5" t="s">
        <v>53</v>
      </c>
      <c r="C11" s="14" t="n">
        <v>0.055</v>
      </c>
      <c r="E11" s="3" t="s">
        <v>54</v>
      </c>
    </row>
    <row r="12" customFormat="false" ht="15" hidden="false" customHeight="false" outlineLevel="0" collapsed="false">
      <c r="B12" s="5" t="s">
        <v>55</v>
      </c>
      <c r="C12" s="12" t="n">
        <v>0.25</v>
      </c>
      <c r="E12" s="3" t="s">
        <v>56</v>
      </c>
    </row>
    <row r="13" customFormat="false" ht="15" hidden="false" customHeight="false" outlineLevel="0" collapsed="false">
      <c r="B13" s="16" t="s">
        <v>57</v>
      </c>
      <c r="C13" s="17" t="n">
        <f aca="false">C11*(1-C12)</f>
        <v>0.04125</v>
      </c>
      <c r="E13" s="3" t="s">
        <v>58</v>
      </c>
    </row>
    <row r="15" customFormat="false" ht="15" hidden="false" customHeight="false" outlineLevel="0" collapsed="false">
      <c r="B15" s="4" t="s">
        <v>59</v>
      </c>
      <c r="C15" s="4"/>
      <c r="D15" s="4"/>
    </row>
    <row r="16" customFormat="false" ht="15" hidden="false" customHeight="false" outlineLevel="0" collapsed="false">
      <c r="B16" s="5" t="s">
        <v>60</v>
      </c>
      <c r="C16" s="18" t="n">
        <f aca="false">'Cover &amp; Assumptions'!C9</f>
        <v>47440.506</v>
      </c>
      <c r="E16" s="3" t="s">
        <v>61</v>
      </c>
    </row>
    <row r="17" customFormat="false" ht="15" hidden="false" customHeight="false" outlineLevel="0" collapsed="false">
      <c r="B17" s="5" t="s">
        <v>62</v>
      </c>
      <c r="C17" s="18" t="n">
        <f aca="false">'Cover &amp; Assumptions'!C10</f>
        <v>20500</v>
      </c>
      <c r="E17" s="3" t="s">
        <v>63</v>
      </c>
    </row>
    <row r="18" customFormat="false" ht="15" hidden="false" customHeight="false" outlineLevel="0" collapsed="false">
      <c r="B18" s="5" t="s">
        <v>64</v>
      </c>
      <c r="C18" s="8" t="n">
        <f aca="false">C16+C17</f>
        <v>67940.506</v>
      </c>
      <c r="E18" s="3" t="s">
        <v>65</v>
      </c>
    </row>
    <row r="19" customFormat="false" ht="15" hidden="false" customHeight="false" outlineLevel="0" collapsed="false">
      <c r="B19" s="5" t="s">
        <v>66</v>
      </c>
      <c r="C19" s="11" t="n">
        <f aca="false">C16/C18</f>
        <v>0.698265420631398</v>
      </c>
      <c r="E19" s="3" t="s">
        <v>67</v>
      </c>
    </row>
    <row r="20" customFormat="false" ht="15" hidden="false" customHeight="false" outlineLevel="0" collapsed="false">
      <c r="B20" s="5" t="s">
        <v>68</v>
      </c>
      <c r="C20" s="11" t="n">
        <f aca="false">C17/C18</f>
        <v>0.301734579368602</v>
      </c>
      <c r="E20" s="3" t="s">
        <v>67</v>
      </c>
    </row>
    <row r="22" customFormat="false" ht="15" hidden="false" customHeight="false" outlineLevel="0" collapsed="false">
      <c r="B22" s="4" t="s">
        <v>69</v>
      </c>
      <c r="C22" s="4"/>
      <c r="D22" s="4"/>
    </row>
    <row r="23" customFormat="false" ht="15" hidden="false" customHeight="false" outlineLevel="0" collapsed="false">
      <c r="B23" s="16" t="s">
        <v>70</v>
      </c>
      <c r="C23" s="19" t="n">
        <f aca="false">C19*C8+C20*C13</f>
        <v>0.0700534486010452</v>
      </c>
      <c r="E23" s="3" t="s">
        <v>71</v>
      </c>
    </row>
  </sheetData>
  <mergeCells count="4">
    <mergeCell ref="B4:D4"/>
    <mergeCell ref="B10:D10"/>
    <mergeCell ref="B15:D15"/>
    <mergeCell ref="B22:D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2"/>
    <col collapsed="false" customWidth="true" hidden="false" outlineLevel="0" max="8" min="3" style="0" width="13"/>
    <col collapsed="false" customWidth="true" hidden="false" outlineLevel="0" max="9" min="9" style="0" width="3"/>
    <col collapsed="false" customWidth="true" hidden="false" outlineLevel="0" max="10" min="10" style="0" width="48"/>
  </cols>
  <sheetData>
    <row r="2" customFormat="false" ht="17.35" hidden="false" customHeight="false" outlineLevel="0" collapsed="false">
      <c r="B2" s="1" t="s">
        <v>72</v>
      </c>
    </row>
    <row r="4" customFormat="false" ht="19.5" hidden="false" customHeight="true" outlineLevel="0" collapsed="false">
      <c r="B4" s="20" t="s">
        <v>73</v>
      </c>
      <c r="C4" s="21" t="s">
        <v>74</v>
      </c>
      <c r="D4" s="21" t="s">
        <v>75</v>
      </c>
      <c r="E4" s="21" t="s">
        <v>76</v>
      </c>
      <c r="F4" s="21" t="s">
        <v>77</v>
      </c>
      <c r="G4" s="21" t="s">
        <v>78</v>
      </c>
      <c r="H4" s="21" t="s">
        <v>79</v>
      </c>
    </row>
    <row r="6" customFormat="false" ht="15" hidden="false" customHeight="false" outlineLevel="0" collapsed="false">
      <c r="B6" s="16" t="s">
        <v>80</v>
      </c>
      <c r="C6" s="18" t="n">
        <f aca="false">'Cover &amp; Assumptions'!C15</f>
        <v>19643</v>
      </c>
      <c r="D6" s="8" t="n">
        <f aca="false">C6*(1+D7)</f>
        <v>19741.215</v>
      </c>
      <c r="E6" s="8" t="n">
        <f aca="false">D6*(1+E7)</f>
        <v>20037.333225</v>
      </c>
      <c r="F6" s="8" t="n">
        <f aca="false">E6*(1+F7)</f>
        <v>20538.266555625</v>
      </c>
      <c r="G6" s="8" t="n">
        <f aca="false">F6*(1+G7)</f>
        <v>21113.3380191825</v>
      </c>
      <c r="H6" s="8" t="n">
        <f aca="false">G6*(1+H7)</f>
        <v>21746.738159758</v>
      </c>
    </row>
    <row r="7" customFormat="false" ht="15" hidden="false" customHeight="false" outlineLevel="0" collapsed="false">
      <c r="B7" s="3" t="s">
        <v>81</v>
      </c>
      <c r="D7" s="12" t="n">
        <v>0.005</v>
      </c>
      <c r="E7" s="12" t="n">
        <v>0.015</v>
      </c>
      <c r="F7" s="12" t="n">
        <v>0.025</v>
      </c>
      <c r="G7" s="12" t="n">
        <v>0.028</v>
      </c>
      <c r="H7" s="12" t="n">
        <v>0.03</v>
      </c>
      <c r="J7" s="3" t="s">
        <v>82</v>
      </c>
    </row>
    <row r="9" customFormat="false" ht="15" hidden="false" customHeight="false" outlineLevel="0" collapsed="false">
      <c r="B9" s="3" t="s">
        <v>83</v>
      </c>
      <c r="C9" s="22" t="n">
        <f aca="false">'Cover &amp; Assumptions'!C17</f>
        <v>0.289314259532658</v>
      </c>
      <c r="D9" s="12" t="n">
        <v>0.293</v>
      </c>
      <c r="E9" s="12" t="n">
        <v>0.298</v>
      </c>
      <c r="F9" s="12" t="n">
        <v>0.3</v>
      </c>
      <c r="G9" s="12" t="n">
        <v>0.302</v>
      </c>
      <c r="H9" s="12" t="n">
        <v>0.303</v>
      </c>
      <c r="J9" s="3" t="s">
        <v>84</v>
      </c>
    </row>
    <row r="10" customFormat="false" ht="15" hidden="false" customHeight="false" outlineLevel="0" collapsed="false">
      <c r="B10" s="16" t="s">
        <v>85</v>
      </c>
      <c r="C10" s="8" t="n">
        <f aca="false">C6*C9</f>
        <v>5683</v>
      </c>
      <c r="D10" s="8" t="n">
        <f aca="false">D6*D9</f>
        <v>5784.175995</v>
      </c>
      <c r="E10" s="8" t="n">
        <f aca="false">E6*E9</f>
        <v>5971.12530105</v>
      </c>
      <c r="F10" s="8" t="n">
        <f aca="false">F6*F9</f>
        <v>6161.4799666875</v>
      </c>
      <c r="G10" s="8" t="n">
        <f aca="false">G6*G9</f>
        <v>6376.22808179311</v>
      </c>
      <c r="H10" s="8" t="n">
        <f aca="false">H6*H9</f>
        <v>6589.26166240666</v>
      </c>
    </row>
    <row r="12" customFormat="false" ht="15" hidden="false" customHeight="false" outlineLevel="0" collapsed="false">
      <c r="B12" s="3" t="s">
        <v>86</v>
      </c>
      <c r="C12" s="22" t="n">
        <f aca="false">'Cover &amp; Assumptions'!C22</f>
        <v>0.25</v>
      </c>
      <c r="D12" s="11" t="n">
        <f aca="false">$C$12</f>
        <v>0.25</v>
      </c>
      <c r="E12" s="11" t="n">
        <f aca="false">$C$12</f>
        <v>0.25</v>
      </c>
      <c r="F12" s="11" t="n">
        <f aca="false">$C$12</f>
        <v>0.25</v>
      </c>
      <c r="G12" s="11" t="n">
        <f aca="false">$C$12</f>
        <v>0.25</v>
      </c>
      <c r="H12" s="11" t="n">
        <f aca="false">$C$12</f>
        <v>0.25</v>
      </c>
    </row>
    <row r="13" customFormat="false" ht="15" hidden="false" customHeight="false" outlineLevel="0" collapsed="false">
      <c r="B13" s="5" t="s">
        <v>87</v>
      </c>
      <c r="C13" s="8" t="n">
        <f aca="false">-C10*C12</f>
        <v>-1420.75</v>
      </c>
      <c r="D13" s="8" t="n">
        <f aca="false">-D10*D12</f>
        <v>-1446.04399875</v>
      </c>
      <c r="E13" s="8" t="n">
        <f aca="false">-E10*E12</f>
        <v>-1492.7813252625</v>
      </c>
      <c r="F13" s="8" t="n">
        <f aca="false">-F10*F12</f>
        <v>-1540.36999167187</v>
      </c>
      <c r="G13" s="8" t="n">
        <f aca="false">-G10*G12</f>
        <v>-1594.05702044828</v>
      </c>
      <c r="H13" s="8" t="n">
        <f aca="false">-H10*H12</f>
        <v>-1647.31541560167</v>
      </c>
    </row>
    <row r="14" customFormat="false" ht="15" hidden="false" customHeight="false" outlineLevel="0" collapsed="false">
      <c r="B14" s="16" t="s">
        <v>88</v>
      </c>
      <c r="C14" s="23" t="n">
        <f aca="false">C10+C13</f>
        <v>4262.25</v>
      </c>
      <c r="D14" s="23" t="n">
        <f aca="false">D10+D13</f>
        <v>4338.13199625</v>
      </c>
      <c r="E14" s="23" t="n">
        <f aca="false">E10+E13</f>
        <v>4478.3439757875</v>
      </c>
      <c r="F14" s="23" t="n">
        <f aca="false">F10+F13</f>
        <v>4621.10997501562</v>
      </c>
      <c r="G14" s="23" t="n">
        <f aca="false">G10+G13</f>
        <v>4782.17106134483</v>
      </c>
      <c r="H14" s="23" t="n">
        <f aca="false">H10+H13</f>
        <v>4941.946246805</v>
      </c>
    </row>
    <row r="16" customFormat="false" ht="15" hidden="false" customHeight="false" outlineLevel="0" collapsed="false">
      <c r="B16" s="3" t="s">
        <v>89</v>
      </c>
      <c r="C16" s="22" t="n">
        <f aca="false">'Cover &amp; Assumptions'!C19/'Cover &amp; Assumptions'!C15</f>
        <v>0.0492287328819427</v>
      </c>
      <c r="D16" s="12" t="n">
        <v>0.044</v>
      </c>
      <c r="E16" s="12" t="n">
        <v>0.043</v>
      </c>
      <c r="F16" s="12" t="n">
        <v>0.043</v>
      </c>
      <c r="G16" s="12" t="n">
        <v>0.042</v>
      </c>
      <c r="H16" s="12" t="n">
        <v>0.042</v>
      </c>
      <c r="J16" s="3" t="s">
        <v>90</v>
      </c>
    </row>
    <row r="17" customFormat="false" ht="15" hidden="false" customHeight="false" outlineLevel="0" collapsed="false">
      <c r="B17" s="5" t="s">
        <v>91</v>
      </c>
      <c r="C17" s="8" t="n">
        <f aca="false">C6*C16</f>
        <v>967</v>
      </c>
      <c r="D17" s="8" t="n">
        <f aca="false">D6*D16</f>
        <v>868.61346</v>
      </c>
      <c r="E17" s="8" t="n">
        <f aca="false">E6*E16</f>
        <v>861.605328675</v>
      </c>
      <c r="F17" s="8" t="n">
        <f aca="false">F6*F16</f>
        <v>883.145461891875</v>
      </c>
      <c r="G17" s="8" t="n">
        <f aca="false">G6*G16</f>
        <v>886.760196805665</v>
      </c>
      <c r="H17" s="8" t="n">
        <f aca="false">H6*H16</f>
        <v>913.363002709835</v>
      </c>
    </row>
    <row r="19" customFormat="false" ht="15" hidden="false" customHeight="false" outlineLevel="0" collapsed="false">
      <c r="B19" s="3" t="s">
        <v>92</v>
      </c>
      <c r="C19" s="22" t="n">
        <f aca="false">'Cover &amp; Assumptions'!C20/'Cover &amp; Assumptions'!C15</f>
        <v>0.0610904647966197</v>
      </c>
      <c r="D19" s="12" t="n">
        <v>0.06</v>
      </c>
      <c r="E19" s="12" t="n">
        <v>0.058</v>
      </c>
      <c r="F19" s="12" t="n">
        <v>0.057</v>
      </c>
      <c r="G19" s="12" t="n">
        <v>0.056</v>
      </c>
      <c r="H19" s="12" t="n">
        <v>0.055</v>
      </c>
      <c r="J19" s="3" t="s">
        <v>93</v>
      </c>
    </row>
    <row r="20" customFormat="false" ht="15" hidden="false" customHeight="false" outlineLevel="0" collapsed="false">
      <c r="B20" s="5" t="s">
        <v>94</v>
      </c>
      <c r="C20" s="8" t="n">
        <f aca="false">-C6*C19</f>
        <v>-1200</v>
      </c>
      <c r="D20" s="8" t="n">
        <f aca="false">-D6*D19</f>
        <v>-1184.4729</v>
      </c>
      <c r="E20" s="8" t="n">
        <f aca="false">-E6*E19</f>
        <v>-1162.16532705</v>
      </c>
      <c r="F20" s="8" t="n">
        <f aca="false">-F6*F19</f>
        <v>-1170.68119367062</v>
      </c>
      <c r="G20" s="8" t="n">
        <f aca="false">-G6*G19</f>
        <v>-1182.34692907422</v>
      </c>
      <c r="H20" s="8" t="n">
        <f aca="false">-H6*H19</f>
        <v>-1196.07059878669</v>
      </c>
    </row>
    <row r="22" customFormat="false" ht="15" hidden="false" customHeight="false" outlineLevel="0" collapsed="false">
      <c r="B22" s="3" t="s">
        <v>95</v>
      </c>
      <c r="C22" s="22" t="n">
        <f aca="false">'Cover &amp; Assumptions'!C21/'Cover &amp; Assumptions'!C15</f>
        <v>0.00305452323983098</v>
      </c>
      <c r="D22" s="12" t="n">
        <v>0.004</v>
      </c>
      <c r="E22" s="12" t="n">
        <v>0.004</v>
      </c>
      <c r="F22" s="12" t="n">
        <v>0.004</v>
      </c>
      <c r="G22" s="12" t="n">
        <v>0.003</v>
      </c>
      <c r="H22" s="12" t="n">
        <v>0.003</v>
      </c>
      <c r="J22" s="3" t="s">
        <v>96</v>
      </c>
    </row>
    <row r="23" customFormat="false" ht="15" hidden="false" customHeight="false" outlineLevel="0" collapsed="false">
      <c r="B23" s="5" t="s">
        <v>97</v>
      </c>
      <c r="C23" s="8" t="n">
        <f aca="false">-C6*C22</f>
        <v>-60</v>
      </c>
      <c r="D23" s="8" t="n">
        <f aca="false">-D6*D22</f>
        <v>-78.96486</v>
      </c>
      <c r="E23" s="8" t="n">
        <f aca="false">-E6*E22</f>
        <v>-80.1493329</v>
      </c>
      <c r="F23" s="8" t="n">
        <f aca="false">-F6*F22</f>
        <v>-82.1530662225</v>
      </c>
      <c r="G23" s="8" t="n">
        <f aca="false">-G6*G22</f>
        <v>-63.3400140575475</v>
      </c>
      <c r="H23" s="8" t="n">
        <f aca="false">-H6*H22</f>
        <v>-65.2402144792739</v>
      </c>
    </row>
    <row r="25" customFormat="false" ht="15" hidden="false" customHeight="false" outlineLevel="0" collapsed="false">
      <c r="B25" s="16" t="s">
        <v>98</v>
      </c>
      <c r="D25" s="24" t="n">
        <f aca="false">D14+D17+D20+D23</f>
        <v>3943.30769625</v>
      </c>
      <c r="E25" s="24" t="n">
        <f aca="false">E14+E17+E20+E23</f>
        <v>4097.6346445125</v>
      </c>
      <c r="F25" s="24" t="n">
        <f aca="false">F14+F17+F20+F23</f>
        <v>4251.42117701437</v>
      </c>
      <c r="G25" s="24" t="n">
        <f aca="false">G14+G17+G20+G23</f>
        <v>4423.24431501873</v>
      </c>
      <c r="H25" s="24" t="n">
        <f aca="false">H14+H17+H20+H23</f>
        <v>4593.99843624887</v>
      </c>
    </row>
    <row r="27" customFormat="false" ht="15" hidden="false" customHeight="false" outlineLevel="0" collapsed="false">
      <c r="B27" s="3" t="s">
        <v>99</v>
      </c>
      <c r="D27" s="25" t="n">
        <v>1</v>
      </c>
      <c r="E27" s="25" t="n">
        <v>2</v>
      </c>
      <c r="F27" s="25" t="n">
        <v>3</v>
      </c>
      <c r="G27" s="25" t="n">
        <v>4</v>
      </c>
      <c r="H27" s="25" t="n">
        <v>5</v>
      </c>
    </row>
    <row r="28" customFormat="false" ht="15" hidden="false" customHeight="false" outlineLevel="0" collapsed="false">
      <c r="B28" s="5" t="s">
        <v>100</v>
      </c>
      <c r="D28" s="26" t="n">
        <f aca="false">1/(1+WACC!C23)^D27</f>
        <v>0.934532757506057</v>
      </c>
      <c r="E28" s="26" t="n">
        <f aca="false">1/(1+WACC!C23)^E27</f>
        <v>0.873351474851874</v>
      </c>
      <c r="F28" s="26" t="n">
        <f aca="false">1/(1+WACC!C23)^F27</f>
        <v>0.816175562065303</v>
      </c>
      <c r="G28" s="26" t="n">
        <f aca="false">1/(1+WACC!C23)^G27</f>
        <v>0.762742798625943</v>
      </c>
      <c r="H28" s="26" t="n">
        <f aca="false">1/(1+WACC!C23)^H27</f>
        <v>0.712808130867789</v>
      </c>
    </row>
    <row r="29" customFormat="false" ht="15" hidden="false" customHeight="false" outlineLevel="0" collapsed="false">
      <c r="B29" s="16" t="s">
        <v>101</v>
      </c>
      <c r="D29" s="27" t="n">
        <f aca="false">D25*D28</f>
        <v>3685.15021507137</v>
      </c>
      <c r="E29" s="27" t="n">
        <f aca="false">E25*E28</f>
        <v>3578.67526018912</v>
      </c>
      <c r="F29" s="27" t="n">
        <f aca="false">F25*F28</f>
        <v>3469.90606872604</v>
      </c>
      <c r="G29" s="27" t="n">
        <f aca="false">G25*G28</f>
        <v>3373.79774784368</v>
      </c>
      <c r="H29" s="27" t="n">
        <f aca="false">H25*H28</f>
        <v>3274.6394385521</v>
      </c>
    </row>
    <row r="31" customFormat="false" ht="15" hidden="false" customHeight="false" outlineLevel="0" collapsed="false">
      <c r="B31" s="4" t="s">
        <v>102</v>
      </c>
      <c r="C31" s="4"/>
      <c r="D31" s="4"/>
      <c r="E31" s="4"/>
      <c r="F31" s="4"/>
      <c r="G31" s="4"/>
      <c r="H31" s="4"/>
    </row>
    <row r="32" customFormat="false" ht="15" hidden="false" customHeight="false" outlineLevel="0" collapsed="false">
      <c r="B32" s="5" t="s">
        <v>103</v>
      </c>
      <c r="C32" s="12" t="n">
        <v>0.02</v>
      </c>
    </row>
    <row r="33" customFormat="false" ht="15" hidden="false" customHeight="false" outlineLevel="0" collapsed="false">
      <c r="B33" s="5" t="s">
        <v>69</v>
      </c>
      <c r="C33" s="28" t="n">
        <f aca="false">WACC!C23</f>
        <v>0.0700534486010452</v>
      </c>
    </row>
    <row r="34" customFormat="false" ht="15" hidden="false" customHeight="false" outlineLevel="0" collapsed="false">
      <c r="B34" s="16" t="s">
        <v>104</v>
      </c>
      <c r="C34" s="27" t="n">
        <f aca="false">H25*(1+C32)/(C33-C32)</f>
        <v>93617.4936181321</v>
      </c>
    </row>
    <row r="35" customFormat="false" ht="15" hidden="false" customHeight="false" outlineLevel="0" collapsed="false">
      <c r="B35" s="5" t="s">
        <v>105</v>
      </c>
      <c r="C35" s="8" t="n">
        <f aca="false">C34*H28</f>
        <v>66731.3106424679</v>
      </c>
    </row>
    <row r="37" customFormat="false" ht="15" hidden="false" customHeight="false" outlineLevel="0" collapsed="false">
      <c r="B37" s="4" t="s">
        <v>106</v>
      </c>
      <c r="C37" s="4"/>
      <c r="D37" s="4"/>
      <c r="E37" s="4"/>
      <c r="F37" s="4"/>
      <c r="G37" s="4"/>
      <c r="H37" s="4"/>
    </row>
    <row r="38" customFormat="false" ht="15" hidden="false" customHeight="false" outlineLevel="0" collapsed="false">
      <c r="B38" s="5" t="s">
        <v>107</v>
      </c>
      <c r="C38" s="8" t="n">
        <f aca="false">SUM(D29:H29)</f>
        <v>17382.1687303823</v>
      </c>
    </row>
    <row r="39" customFormat="false" ht="15" hidden="false" customHeight="false" outlineLevel="0" collapsed="false">
      <c r="B39" s="5" t="s">
        <v>105</v>
      </c>
      <c r="C39" s="8" t="n">
        <f aca="false">C35</f>
        <v>66731.3106424679</v>
      </c>
    </row>
    <row r="40" customFormat="false" ht="15" hidden="false" customHeight="false" outlineLevel="0" collapsed="false">
      <c r="B40" s="16" t="s">
        <v>108</v>
      </c>
      <c r="C40" s="24" t="n">
        <f aca="false">C38+C39</f>
        <v>84113.4793728502</v>
      </c>
      <c r="E40" s="5" t="s">
        <v>109</v>
      </c>
      <c r="F40" s="29" t="n">
        <f aca="false">C39/C40</f>
        <v>0.793348594541758</v>
      </c>
    </row>
    <row r="41" customFormat="false" ht="15" hidden="false" customHeight="false" outlineLevel="0" collapsed="false">
      <c r="B41" s="5" t="s">
        <v>110</v>
      </c>
      <c r="C41" s="18" t="n">
        <f aca="false">'Cover &amp; Assumptions'!C10</f>
        <v>20500</v>
      </c>
    </row>
    <row r="42" customFormat="false" ht="15" hidden="false" customHeight="false" outlineLevel="0" collapsed="false">
      <c r="B42" s="16" t="s">
        <v>111</v>
      </c>
      <c r="C42" s="30" t="n">
        <f aca="false">C40-C41</f>
        <v>63613.4793728502</v>
      </c>
    </row>
    <row r="43" customFormat="false" ht="15" hidden="false" customHeight="false" outlineLevel="0" collapsed="false">
      <c r="B43" s="5" t="s">
        <v>112</v>
      </c>
      <c r="C43" s="31" t="n">
        <f aca="false">'Cover &amp; Assumptions'!C8</f>
        <v>555.9</v>
      </c>
    </row>
    <row r="44" customFormat="false" ht="15" hidden="false" customHeight="false" outlineLevel="0" collapsed="false">
      <c r="B44" s="16" t="s">
        <v>113</v>
      </c>
      <c r="C44" s="32" t="n">
        <f aca="false">C42/C43</f>
        <v>114.433314216316</v>
      </c>
    </row>
    <row r="45" customFormat="false" ht="15" hidden="false" customHeight="false" outlineLevel="0" collapsed="false">
      <c r="B45" s="5" t="s">
        <v>114</v>
      </c>
      <c r="C45" s="33" t="n">
        <f aca="false">'Cover &amp; Assumptions'!C7</f>
        <v>85.34</v>
      </c>
    </row>
    <row r="46" customFormat="false" ht="15" hidden="false" customHeight="false" outlineLevel="0" collapsed="false">
      <c r="B46" s="16" t="s">
        <v>115</v>
      </c>
      <c r="C46" s="34" t="n">
        <f aca="false">C44/C45-1</f>
        <v>0.340910642328525</v>
      </c>
    </row>
    <row r="48" customFormat="false" ht="15" hidden="false" customHeight="false" outlineLevel="0" collapsed="false">
      <c r="B48" s="4" t="s">
        <v>116</v>
      </c>
      <c r="C48" s="4"/>
      <c r="D48" s="4"/>
      <c r="E48" s="4"/>
      <c r="F48" s="4"/>
      <c r="G48" s="4"/>
      <c r="H48" s="4"/>
    </row>
    <row r="49" customFormat="false" ht="15" hidden="false" customHeight="false" outlineLevel="0" collapsed="false">
      <c r="B49" s="3" t="s">
        <v>117</v>
      </c>
    </row>
    <row r="50" customFormat="false" ht="15" hidden="false" customHeight="false" outlineLevel="0" collapsed="false">
      <c r="B50" s="35" t="s">
        <v>118</v>
      </c>
      <c r="C50" s="36" t="n">
        <f aca="false">WACC!C23-0.01</f>
        <v>0.0600534486010452</v>
      </c>
      <c r="D50" s="36" t="n">
        <f aca="false">WACC!C23-0.005</f>
        <v>0.0650534486010452</v>
      </c>
      <c r="E50" s="36" t="n">
        <f aca="false">WACC!C23</f>
        <v>0.0700534486010452</v>
      </c>
      <c r="F50" s="36" t="n">
        <f aca="false">WACC!C23+0.005</f>
        <v>0.0750534486010452</v>
      </c>
      <c r="G50" s="36" t="n">
        <f aca="false">WACC!C23+0.01</f>
        <v>0.0800534486010452</v>
      </c>
    </row>
    <row r="51" customFormat="false" ht="15" hidden="false" customHeight="false" outlineLevel="0" collapsed="false">
      <c r="B51" s="37" t="n">
        <f aca="false">C32-0.01</f>
        <v>0.01</v>
      </c>
      <c r="C51" s="38" t="n">
        <f aca="false">((D$25/(1+C$50)^1+E$25/(1+C$50)^2+F$25/(1+C$50)^3+G$25/(1+C$50)^4+H$25/(1+C$50)^5+(H$25*(1+$B51)/(C$50-$B51))/(1+C$50)^5)-$C$41)/$C$43</f>
        <v>119.848074799179</v>
      </c>
      <c r="D51" s="38" t="n">
        <f aca="false">((D$25/(1+D$50)^1+E$25/(1+D$50)^2+F$25/(1+D$50)^3+G$25/(1+D$50)^4+H$25/(1+D$50)^5+(H$25*(1+$B51)/(D$50-$B51))/(1+D$50)^5)-$C$41)/$C$43</f>
        <v>105.456038387553</v>
      </c>
      <c r="E51" s="38" t="n">
        <f aca="false">((D$25/(1+E$50)^1+E$25/(1+E$50)^2+F$25/(1+E$50)^3+G$25/(1+E$50)^4+H$25/(1+E$50)^5+(H$25*(1+$B51)/(E$50-$B51))/(1+E$50)^5)-$C$41)/$C$43</f>
        <v>93.4632225983209</v>
      </c>
      <c r="F51" s="38" t="n">
        <f aca="false">((D$25/(1+F$50)^1+E$25/(1+F$50)^2+F$25/(1+F$50)^3+G$25/(1+F$50)^4+H$25/(1+F$50)^5+(H$25*(1+$B51)/(F$50-$B51))/(1+F$50)^5)-$C$41)/$C$43</f>
        <v>83.3163561140436</v>
      </c>
      <c r="G51" s="38" t="n">
        <f aca="false">((D$25/(1+G$50)^1+E$25/(1+G$50)^2+F$25/(1+G$50)^3+G$25/(1+G$50)^4+H$25/(1+G$50)^5+(H$25*(1+$B51)/(G$50-$B51))/(1+G$50)^5)-$C$41)/$C$43</f>
        <v>74.620126162404</v>
      </c>
    </row>
    <row r="52" customFormat="false" ht="15" hidden="false" customHeight="false" outlineLevel="0" collapsed="false">
      <c r="B52" s="37" t="n">
        <f aca="false">C32-0.005</f>
        <v>0.015</v>
      </c>
      <c r="C52" s="38" t="n">
        <f aca="false">((D$25/(1+C$50)^1+E$25/(1+C$50)^2+F$25/(1+C$50)^3+G$25/(1+C$50)^4+H$25/(1+C$50)^5+(H$25*(1+$B52)/(C$50-$B52))/(1+C$50)^5)-$C$41)/$C$43</f>
        <v>134.358865427409</v>
      </c>
      <c r="D52" s="38" t="n">
        <f aca="false">((D$25/(1+D$50)^1+E$25/(1+D$50)^2+F$25/(1+D$50)^3+G$25/(1+D$50)^4+H$25/(1+D$50)^5+(H$25*(1+$B52)/(D$50-$B52))/(1+D$50)^5)-$C$41)/$C$43</f>
        <v>117.109636255369</v>
      </c>
      <c r="E52" s="38" t="n">
        <f aca="false">((D$25/(1+E$50)^1+E$25/(1+E$50)^2+F$25/(1+E$50)^3+G$25/(1+E$50)^4+H$25/(1+E$50)^5+(H$25*(1+$B52)/(E$50-$B52))/(1+E$50)^5)-$C$41)/$C$43</f>
        <v>102.996007824609</v>
      </c>
      <c r="F52" s="38" t="n">
        <f aca="false">((D$25/(1+F$50)^1+E$25/(1+F$50)^2+F$25/(1+F$50)^3+G$25/(1+F$50)^4+H$25/(1+F$50)^5+(H$25*(1+$B52)/(F$50-$B52))/(1+F$50)^5)-$C$41)/$C$43</f>
        <v>91.2347239126137</v>
      </c>
      <c r="G52" s="38" t="n">
        <f aca="false">((D$25/(1+G$50)^1+E$25/(1+G$50)^2+F$25/(1+G$50)^3+G$25/(1+G$50)^4+H$25/(1+G$50)^5+(H$25*(1+$B52)/(G$50-$B52))/(1+G$50)^5)-$C$41)/$C$43</f>
        <v>81.2833336581067</v>
      </c>
    </row>
    <row r="53" customFormat="false" ht="15" hidden="false" customHeight="false" outlineLevel="0" collapsed="false">
      <c r="B53" s="37" t="n">
        <f aca="false">C32</f>
        <v>0.02</v>
      </c>
      <c r="C53" s="38" t="n">
        <f aca="false">((D$25/(1+C$50)^1+E$25/(1+C$50)^2+F$25/(1+C$50)^3+G$25/(1+C$50)^4+H$25/(1+C$50)^5+(H$25*(1+$B53)/(C$50-$B53))/(1+C$50)^5)-$C$41)/$C$43</f>
        <v>152.492512797082</v>
      </c>
      <c r="D53" s="38" t="n">
        <f aca="false">((D$25/(1+D$50)^1+E$25/(1+D$50)^2+F$25/(1+D$50)^3+G$25/(1+D$50)^4+H$25/(1+D$50)^5+(H$25*(1+$B53)/(D$50-$B53))/(1+D$50)^5)-$C$41)/$C$43</f>
        <v>131.34985029346</v>
      </c>
      <c r="E53" s="39" t="n">
        <f aca="false">((D$25/(1+E$50)^1+E$25/(1+E$50)^2+F$25/(1+E$50)^3+G$25/(1+E$50)^4+H$25/(1+E$50)^5+(H$25*(1+$B53)/(E$50-$B53))/(1+E$50)^5)-$C$41)/$C$43</f>
        <v>114.433314216316</v>
      </c>
      <c r="F53" s="38" t="n">
        <f aca="false">((D$25/(1+F$50)^1+E$25/(1+F$50)^2+F$25/(1+F$50)^3+G$25/(1+F$50)^4+H$25/(1+F$50)^5+(H$25*(1+$B53)/(F$50-$B53))/(1+F$50)^5)-$C$41)/$C$43</f>
        <v>100.591397212434</v>
      </c>
      <c r="G53" s="38" t="n">
        <f aca="false">((D$25/(1+G$50)^1+E$25/(1+G$50)^2+F$25/(1+G$50)^3+G$25/(1+G$50)^4+H$25/(1+G$50)^5+(H$25*(1+$B53)/(G$50-$B53))/(1+G$50)^5)-$C$41)/$C$43</f>
        <v>89.0560873415677</v>
      </c>
    </row>
    <row r="54" customFormat="false" ht="15" hidden="false" customHeight="false" outlineLevel="0" collapsed="false">
      <c r="B54" s="37" t="n">
        <f aca="false">C32+0.005</f>
        <v>0.025</v>
      </c>
      <c r="C54" s="38" t="n">
        <f aca="false">((D$25/(1+C$50)^1+E$25/(1+C$50)^2+F$25/(1+C$50)^3+G$25/(1+C$50)^4+H$25/(1+C$50)^5+(H$25*(1+$B54)/(C$50-$B54))/(1+C$50)^5)-$C$41)/$C$43</f>
        <v>175.79930235201</v>
      </c>
      <c r="D54" s="38" t="n">
        <f aca="false">((D$25/(1+D$50)^1+E$25/(1+D$50)^2+F$25/(1+D$50)^3+G$25/(1+D$50)^4+H$25/(1+D$50)^5+(H$25*(1+$B54)/(D$50-$B54))/(1+D$50)^5)-$C$41)/$C$43</f>
        <v>149.145367191969</v>
      </c>
      <c r="E54" s="38" t="n">
        <f aca="false">((D$25/(1+E$50)^1+E$25/(1+E$50)^2+F$25/(1+E$50)^3+G$25/(1+E$50)^4+H$25/(1+E$50)^5+(H$25*(1+$B54)/(E$50-$B54))/(1+E$50)^5)-$C$41)/$C$43</f>
        <v>128.409229026878</v>
      </c>
      <c r="F54" s="38" t="n">
        <f aca="false">((D$25/(1+F$50)^1+E$25/(1+F$50)^2+F$25/(1+F$50)^3+G$25/(1+F$50)^4+H$25/(1+F$50)^5+(H$25*(1+$B54)/(F$50-$B54))/(1+F$50)^5)-$C$41)/$C$43</f>
        <v>111.817406903919</v>
      </c>
      <c r="G54" s="38" t="n">
        <f aca="false">((D$25/(1+G$50)^1+E$25/(1+G$50)^2+F$25/(1+G$50)^3+G$25/(1+G$50)^4+H$25/(1+G$50)^5+(H$25*(1+$B54)/(G$50-$B54))/(1+G$50)^5)-$C$41)/$C$43</f>
        <v>98.2406969361429</v>
      </c>
    </row>
    <row r="55" customFormat="false" ht="15" hidden="false" customHeight="false" outlineLevel="0" collapsed="false">
      <c r="B55" s="37" t="n">
        <f aca="false">C32+0.01</f>
        <v>0.03</v>
      </c>
      <c r="C55" s="38" t="n">
        <f aca="false">((D$25/(1+C$50)^1+E$25/(1+C$50)^2+F$25/(1+C$50)^3+G$25/(1+C$50)^4+H$25/(1+C$50)^5+(H$25*(1+$B55)/(C$50-$B55))/(1+C$50)^5)-$C$41)/$C$43</f>
        <v>206.861205093555</v>
      </c>
      <c r="D55" s="38" t="n">
        <f aca="false">((D$25/(1+D$50)^1+E$25/(1+D$50)^2+F$25/(1+D$50)^3+G$25/(1+D$50)^4+H$25/(1+D$50)^5+(H$25*(1+$B55)/(D$50-$B55))/(1+D$50)^5)-$C$41)/$C$43</f>
        <v>172.017564876168</v>
      </c>
      <c r="E55" s="38" t="n">
        <f aca="false">((D$25/(1+E$50)^1+E$25/(1+E$50)^2+F$25/(1+E$50)^3+G$25/(1+E$50)^4+H$25/(1+E$50)^5+(H$25*(1+$B55)/(E$50-$B55))/(1+E$50)^5)-$C$41)/$C$43</f>
        <v>145.874460063309</v>
      </c>
      <c r="F55" s="38" t="n">
        <f aca="false">((D$25/(1+F$50)^1+E$25/(1+F$50)^2+F$25/(1+F$50)^3+G$25/(1+F$50)^4+H$25/(1+F$50)^5+(H$25*(1+$B55)/(F$50-$B55))/(1+F$50)^5)-$C$41)/$C$43</f>
        <v>125.535125896259</v>
      </c>
      <c r="G55" s="38" t="n">
        <f aca="false">((D$25/(1+G$50)^1+E$25/(1+G$50)^2+F$25/(1+G$50)^3+G$25/(1+G$50)^4+H$25/(1+G$50)^5+(H$25*(1+$B55)/(G$50-$B55))/(1+G$50)^5)-$C$41)/$C$43</f>
        <v>109.260266928309</v>
      </c>
    </row>
  </sheetData>
  <mergeCells count="3">
    <mergeCell ref="B31:H31"/>
    <mergeCell ref="B37:H37"/>
    <mergeCell ref="B48:H4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4" min="3" style="0" width="14"/>
    <col collapsed="false" customWidth="true" hidden="false" outlineLevel="0" max="8" min="5" style="0" width="13"/>
    <col collapsed="false" customWidth="true" hidden="false" outlineLevel="0" max="9" min="9" style="0" width="50"/>
  </cols>
  <sheetData>
    <row r="2" customFormat="false" ht="17.35" hidden="false" customHeight="false" outlineLevel="0" collapsed="false">
      <c r="B2" s="1" t="s">
        <v>119</v>
      </c>
    </row>
    <row r="3" customFormat="false" ht="15" hidden="false" customHeight="false" outlineLevel="0" collapsed="false">
      <c r="B3" s="3" t="s">
        <v>120</v>
      </c>
    </row>
    <row r="5" customFormat="false" ht="19.5" hidden="false" customHeight="true" outlineLevel="0" collapsed="false">
      <c r="B5" s="21" t="s">
        <v>121</v>
      </c>
      <c r="C5" s="21" t="s">
        <v>122</v>
      </c>
      <c r="D5" s="21" t="s">
        <v>123</v>
      </c>
      <c r="E5" s="21" t="s">
        <v>124</v>
      </c>
      <c r="F5" s="21" t="s">
        <v>125</v>
      </c>
      <c r="G5" s="20"/>
    </row>
    <row r="6" customFormat="false" ht="15" hidden="false" customHeight="false" outlineLevel="0" collapsed="false">
      <c r="B6" s="5" t="s">
        <v>126</v>
      </c>
      <c r="C6" s="5" t="s">
        <v>127</v>
      </c>
      <c r="D6" s="40" t="n">
        <v>2237</v>
      </c>
      <c r="E6" s="41" t="n">
        <v>13.8</v>
      </c>
      <c r="F6" s="12" t="n">
        <v>0.226</v>
      </c>
    </row>
    <row r="7" customFormat="false" ht="15" hidden="false" customHeight="false" outlineLevel="0" collapsed="false">
      <c r="B7" s="5" t="s">
        <v>128</v>
      </c>
      <c r="C7" s="5" t="s">
        <v>129</v>
      </c>
      <c r="D7" s="40" t="n">
        <v>31714</v>
      </c>
      <c r="E7" s="41" t="n">
        <v>11.2</v>
      </c>
      <c r="F7" s="12" t="n">
        <v>0.368</v>
      </c>
    </row>
    <row r="8" customFormat="false" ht="15" hidden="false" customHeight="false" outlineLevel="0" collapsed="false">
      <c r="B8" s="5" t="s">
        <v>130</v>
      </c>
      <c r="C8" s="5" t="s">
        <v>131</v>
      </c>
      <c r="D8" s="40" t="n">
        <v>6649</v>
      </c>
      <c r="E8" s="41" t="n">
        <v>10.9</v>
      </c>
      <c r="F8" s="12" t="n">
        <v>0.25</v>
      </c>
    </row>
    <row r="9" customFormat="false" ht="15" hidden="false" customHeight="false" outlineLevel="0" collapsed="false">
      <c r="B9" s="5" t="s">
        <v>132</v>
      </c>
      <c r="C9" s="5" t="s">
        <v>127</v>
      </c>
      <c r="D9" s="40" t="n">
        <v>15629</v>
      </c>
      <c r="E9" s="41" t="n">
        <v>9</v>
      </c>
      <c r="F9" s="12" t="n">
        <v>0.301</v>
      </c>
    </row>
    <row r="11" customFormat="false" ht="15" hidden="false" customHeight="false" outlineLevel="0" collapsed="false">
      <c r="B11" s="4" t="s">
        <v>133</v>
      </c>
      <c r="C11" s="4"/>
      <c r="D11" s="4"/>
      <c r="E11" s="4"/>
      <c r="F11" s="4"/>
    </row>
    <row r="12" customFormat="false" ht="15" hidden="false" customHeight="false" outlineLevel="0" collapsed="false">
      <c r="B12" s="5" t="s">
        <v>134</v>
      </c>
      <c r="E12" s="42" t="n">
        <f aca="false">AVERAGE(E6:E9)</f>
        <v>11.225</v>
      </c>
    </row>
    <row r="13" customFormat="false" ht="15" hidden="false" customHeight="false" outlineLevel="0" collapsed="false">
      <c r="B13" s="16" t="s">
        <v>135</v>
      </c>
      <c r="E13" s="43" t="n">
        <f aca="false">MEDIAN(E6:E9)</f>
        <v>11.05</v>
      </c>
    </row>
    <row r="14" customFormat="false" ht="15" hidden="false" customHeight="false" outlineLevel="0" collapsed="false">
      <c r="B14" s="5" t="s">
        <v>136</v>
      </c>
      <c r="E14" s="42" t="n">
        <f aca="false">MIN(E6:E9)</f>
        <v>9</v>
      </c>
    </row>
    <row r="15" customFormat="false" ht="15" hidden="false" customHeight="false" outlineLevel="0" collapsed="false">
      <c r="B15" s="5" t="s">
        <v>137</v>
      </c>
      <c r="E15" s="42" t="n">
        <f aca="false">MAX(E6:E9)</f>
        <v>13.8</v>
      </c>
    </row>
    <row r="17" customFormat="false" ht="15" hidden="false" customHeight="false" outlineLevel="0" collapsed="false">
      <c r="B17" s="4" t="s">
        <v>138</v>
      </c>
      <c r="C17" s="4"/>
      <c r="D17" s="4"/>
      <c r="E17" s="4"/>
      <c r="F17" s="4"/>
      <c r="G17" s="4"/>
      <c r="H17" s="4"/>
    </row>
    <row r="18" customFormat="false" ht="15" hidden="false" customHeight="false" outlineLevel="0" collapsed="false">
      <c r="B18" s="5" t="s">
        <v>139</v>
      </c>
      <c r="D18" s="18" t="n">
        <f aca="false">'Cover &amp; Assumptions'!C18</f>
        <v>6650</v>
      </c>
    </row>
    <row r="20" customFormat="false" ht="19.5" hidden="false" customHeight="true" outlineLevel="0" collapsed="false">
      <c r="B20" s="21" t="s">
        <v>140</v>
      </c>
      <c r="C20" s="21" t="s">
        <v>141</v>
      </c>
      <c r="D20" s="21" t="s">
        <v>142</v>
      </c>
      <c r="E20" s="21" t="s">
        <v>143</v>
      </c>
    </row>
    <row r="21" customFormat="false" ht="15" hidden="false" customHeight="false" outlineLevel="0" collapsed="false">
      <c r="B21" s="5" t="s">
        <v>136</v>
      </c>
      <c r="C21" s="44" t="n">
        <f aca="false">E14</f>
        <v>9</v>
      </c>
      <c r="D21" s="8" t="n">
        <f aca="false">C21*D18</f>
        <v>59850</v>
      </c>
      <c r="E21" s="38" t="n">
        <f aca="false">(D21-'Cover &amp; Assumptions'!$C$10)/'Cover &amp; Assumptions'!$C$8</f>
        <v>70.7861126101817</v>
      </c>
    </row>
    <row r="22" customFormat="false" ht="15" hidden="false" customHeight="false" outlineLevel="0" collapsed="false">
      <c r="B22" s="5" t="s">
        <v>144</v>
      </c>
      <c r="C22" s="44" t="n">
        <f aca="false">E13</f>
        <v>11.05</v>
      </c>
      <c r="D22" s="8" t="n">
        <f aca="false">C22*D18</f>
        <v>73482.5</v>
      </c>
      <c r="E22" s="38" t="n">
        <f aca="false">(D22-'Cover &amp; Assumptions'!$C$10)/'Cover &amp; Assumptions'!$C$8</f>
        <v>95.3094081669365</v>
      </c>
    </row>
    <row r="23" customFormat="false" ht="15" hidden="false" customHeight="false" outlineLevel="0" collapsed="false">
      <c r="B23" s="5" t="s">
        <v>145</v>
      </c>
      <c r="C23" s="44" t="n">
        <f aca="false">E12</f>
        <v>11.225</v>
      </c>
      <c r="D23" s="8" t="n">
        <f aca="false">C23*D18</f>
        <v>74646.25</v>
      </c>
      <c r="E23" s="38" t="n">
        <f aca="false">(D23-'Cover &amp; Assumptions'!$C$10)/'Cover &amp; Assumptions'!$C$8</f>
        <v>97.4028602266595</v>
      </c>
    </row>
    <row r="24" customFormat="false" ht="15" hidden="false" customHeight="false" outlineLevel="0" collapsed="false">
      <c r="B24" s="5" t="s">
        <v>137</v>
      </c>
      <c r="C24" s="44" t="n">
        <f aca="false">E15</f>
        <v>13.8</v>
      </c>
      <c r="D24" s="8" t="n">
        <f aca="false">C24*D18</f>
        <v>91770</v>
      </c>
      <c r="E24" s="38" t="n">
        <f aca="false">(D24-'Cover &amp; Assumptions'!$C$10)/'Cover &amp; Assumptions'!$C$8</f>
        <v>128.206511962583</v>
      </c>
    </row>
  </sheetData>
  <mergeCells count="2">
    <mergeCell ref="B11:F11"/>
    <mergeCell ref="B17:H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5"/>
    <col collapsed="false" customWidth="true" hidden="false" outlineLevel="0" max="4" min="3" style="0" width="26"/>
    <col collapsed="false" customWidth="true" hidden="false" outlineLevel="0" max="5" min="5" style="0" width="30"/>
    <col collapsed="false" customWidth="true" hidden="false" outlineLevel="0" max="6" min="6" style="0" width="14"/>
    <col collapsed="false" customWidth="true" hidden="false" outlineLevel="0" max="7" min="7" style="0" width="13"/>
    <col collapsed="false" customWidth="true" hidden="false" outlineLevel="0" max="8" min="8" style="0" width="50"/>
  </cols>
  <sheetData>
    <row r="2" customFormat="false" ht="17.35" hidden="false" customHeight="false" outlineLevel="0" collapsed="false">
      <c r="B2" s="1" t="s">
        <v>146</v>
      </c>
    </row>
    <row r="3" customFormat="false" ht="15" hidden="false" customHeight="false" outlineLevel="0" collapsed="false">
      <c r="B3" s="3" t="s">
        <v>147</v>
      </c>
    </row>
    <row r="5" customFormat="false" ht="19.5" hidden="false" customHeight="true" outlineLevel="0" collapsed="false">
      <c r="B5" s="21" t="s">
        <v>148</v>
      </c>
      <c r="C5" s="21" t="s">
        <v>149</v>
      </c>
      <c r="D5" s="21" t="s">
        <v>150</v>
      </c>
      <c r="E5" s="21" t="s">
        <v>151</v>
      </c>
      <c r="F5" s="21" t="s">
        <v>152</v>
      </c>
      <c r="G5" s="21" t="s">
        <v>153</v>
      </c>
      <c r="H5" s="21" t="s">
        <v>154</v>
      </c>
    </row>
    <row r="6" customFormat="false" ht="15" hidden="false" customHeight="false" outlineLevel="0" collapsed="false">
      <c r="B6" s="5" t="s">
        <v>155</v>
      </c>
      <c r="C6" s="5" t="s">
        <v>156</v>
      </c>
      <c r="D6" s="5" t="s">
        <v>157</v>
      </c>
      <c r="E6" s="5" t="s">
        <v>158</v>
      </c>
      <c r="F6" s="9" t="n">
        <v>16000</v>
      </c>
      <c r="G6" s="41" t="n">
        <v>20</v>
      </c>
      <c r="H6" s="3" t="s">
        <v>159</v>
      </c>
    </row>
    <row r="7" customFormat="false" ht="15" hidden="false" customHeight="false" outlineLevel="0" collapsed="false">
      <c r="B7" s="5" t="s">
        <v>160</v>
      </c>
      <c r="C7" s="5" t="s">
        <v>161</v>
      </c>
      <c r="D7" s="5" t="s">
        <v>162</v>
      </c>
      <c r="E7" s="5" t="s">
        <v>163</v>
      </c>
      <c r="F7" s="9" t="n">
        <v>3807</v>
      </c>
      <c r="G7" s="41" t="n">
        <v>15.3</v>
      </c>
      <c r="H7" s="3" t="s">
        <v>164</v>
      </c>
    </row>
    <row r="8" customFormat="false" ht="15" hidden="false" customHeight="false" outlineLevel="0" collapsed="false">
      <c r="B8" s="5" t="s">
        <v>165</v>
      </c>
      <c r="C8" s="5" t="s">
        <v>166</v>
      </c>
      <c r="D8" s="5" t="s">
        <v>167</v>
      </c>
      <c r="E8" s="5" t="s">
        <v>168</v>
      </c>
      <c r="F8" s="9" t="n">
        <v>108</v>
      </c>
      <c r="G8" s="41" t="n">
        <v>8.3</v>
      </c>
      <c r="H8" s="3" t="s">
        <v>164</v>
      </c>
    </row>
    <row r="9" customFormat="false" ht="15" hidden="false" customHeight="false" outlineLevel="0" collapsed="false">
      <c r="B9" s="5" t="s">
        <v>169</v>
      </c>
      <c r="C9" s="5" t="s">
        <v>170</v>
      </c>
      <c r="D9" s="5" t="s">
        <v>162</v>
      </c>
      <c r="E9" s="5" t="s">
        <v>171</v>
      </c>
      <c r="F9" s="3" t="s">
        <v>172</v>
      </c>
      <c r="G9" s="41" t="n">
        <v>23.6</v>
      </c>
      <c r="H9" s="3" t="s">
        <v>173</v>
      </c>
    </row>
    <row r="11" customFormat="false" ht="15" hidden="false" customHeight="false" outlineLevel="0" collapsed="false">
      <c r="B11" s="13" t="s">
        <v>174</v>
      </c>
      <c r="C11" s="13"/>
      <c r="D11" s="13"/>
      <c r="E11" s="13"/>
      <c r="F11" s="13"/>
      <c r="G11" s="13"/>
      <c r="H11" s="13"/>
    </row>
    <row r="12" customFormat="false" ht="15" hidden="false" customHeight="false" outlineLevel="0" collapsed="false">
      <c r="B12" s="5" t="s">
        <v>175</v>
      </c>
      <c r="F12" s="42" t="n">
        <f aca="false">AVERAGE(G6,G7,G8)</f>
        <v>14.5333333333333</v>
      </c>
    </row>
    <row r="13" customFormat="false" ht="15" hidden="false" customHeight="false" outlineLevel="0" collapsed="false">
      <c r="B13" s="16" t="s">
        <v>176</v>
      </c>
      <c r="F13" s="43" t="n">
        <f aca="false">MEDIAN(G6,G7,G8)</f>
        <v>15.3</v>
      </c>
    </row>
    <row r="14" customFormat="false" ht="15" hidden="false" customHeight="false" outlineLevel="0" collapsed="false">
      <c r="B14" s="5" t="s">
        <v>177</v>
      </c>
      <c r="F14" s="42" t="n">
        <f aca="false">MIN(G6,G7,G8)</f>
        <v>8.3</v>
      </c>
    </row>
    <row r="15" customFormat="false" ht="15" hidden="false" customHeight="false" outlineLevel="0" collapsed="false">
      <c r="B15" s="5" t="s">
        <v>178</v>
      </c>
      <c r="F15" s="42" t="n">
        <f aca="false">MAX(G6,G7,G8)</f>
        <v>20</v>
      </c>
    </row>
    <row r="17" customFormat="false" ht="15" hidden="false" customHeight="false" outlineLevel="0" collapsed="false">
      <c r="B17" s="4" t="s">
        <v>179</v>
      </c>
      <c r="C17" s="4"/>
      <c r="D17" s="4"/>
      <c r="E17" s="4"/>
      <c r="F17" s="4"/>
      <c r="G17" s="4"/>
      <c r="H17" s="4"/>
    </row>
    <row r="18" customFormat="false" ht="15" hidden="false" customHeight="false" outlineLevel="0" collapsed="false">
      <c r="B18" s="5" t="s">
        <v>180</v>
      </c>
      <c r="F18" s="18" t="n">
        <f aca="false">'Cover &amp; Assumptions'!C18</f>
        <v>6650</v>
      </c>
    </row>
    <row r="20" customFormat="false" ht="19.5" hidden="false" customHeight="true" outlineLevel="0" collapsed="false">
      <c r="B20" s="21" t="s">
        <v>140</v>
      </c>
      <c r="C20" s="21" t="s">
        <v>141</v>
      </c>
      <c r="D20" s="21" t="s">
        <v>142</v>
      </c>
      <c r="E20" s="21" t="s">
        <v>143</v>
      </c>
    </row>
    <row r="21" customFormat="false" ht="15" hidden="false" customHeight="false" outlineLevel="0" collapsed="false">
      <c r="B21" s="5" t="s">
        <v>136</v>
      </c>
      <c r="C21" s="44" t="n">
        <f aca="false">F14</f>
        <v>8.3</v>
      </c>
      <c r="D21" s="8" t="n">
        <f aca="false">C21*F18</f>
        <v>55195</v>
      </c>
      <c r="E21" s="38" t="n">
        <f aca="false">(D21-'Cover &amp; Assumptions'!$C$10)/'Cover &amp; Assumptions'!$C$8</f>
        <v>62.4123043712898</v>
      </c>
    </row>
    <row r="22" customFormat="false" ht="15" hidden="false" customHeight="false" outlineLevel="0" collapsed="false">
      <c r="B22" s="5" t="s">
        <v>144</v>
      </c>
      <c r="C22" s="44" t="n">
        <f aca="false">F13</f>
        <v>15.3</v>
      </c>
      <c r="D22" s="8" t="n">
        <f aca="false">C22*F18</f>
        <v>101745</v>
      </c>
      <c r="E22" s="38" t="n">
        <f aca="false">(D22-'Cover &amp; Assumptions'!$C$10)/'Cover &amp; Assumptions'!$C$8</f>
        <v>146.150386760209</v>
      </c>
    </row>
    <row r="23" customFormat="false" ht="15" hidden="false" customHeight="false" outlineLevel="0" collapsed="false">
      <c r="B23" s="5" t="s">
        <v>137</v>
      </c>
      <c r="C23" s="44" t="n">
        <f aca="false">F15</f>
        <v>20</v>
      </c>
      <c r="D23" s="8" t="n">
        <f aca="false">C23*F18</f>
        <v>133000</v>
      </c>
      <c r="E23" s="38" t="n">
        <f aca="false">(D23-'Cover &amp; Assumptions'!$C$10)/'Cover &amp; Assumptions'!$C$8</f>
        <v>202.374527792769</v>
      </c>
    </row>
  </sheetData>
  <mergeCells count="2">
    <mergeCell ref="B11:H11"/>
    <mergeCell ref="B17:H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5" min="3" style="0" width="16"/>
    <col collapsed="false" customWidth="true" hidden="false" outlineLevel="0" max="6" min="6" style="0" width="20"/>
  </cols>
  <sheetData>
    <row r="2" customFormat="false" ht="17.35" hidden="false" customHeight="false" outlineLevel="0" collapsed="false">
      <c r="B2" s="1" t="s">
        <v>181</v>
      </c>
    </row>
    <row r="3" customFormat="false" ht="15" hidden="false" customHeight="false" outlineLevel="0" collapsed="false">
      <c r="B3" s="3" t="s">
        <v>182</v>
      </c>
    </row>
    <row r="5" customFormat="false" ht="19.5" hidden="false" customHeight="true" outlineLevel="0" collapsed="false">
      <c r="B5" s="21" t="s">
        <v>183</v>
      </c>
      <c r="C5" s="21" t="s">
        <v>136</v>
      </c>
      <c r="D5" s="21" t="s">
        <v>137</v>
      </c>
      <c r="E5" s="21" t="s">
        <v>184</v>
      </c>
    </row>
    <row r="6" customFormat="false" ht="15" hidden="false" customHeight="false" outlineLevel="0" collapsed="false">
      <c r="B6" s="5" t="s">
        <v>185</v>
      </c>
      <c r="C6" s="33" t="n">
        <f aca="false">MIN('DCF Model'!C51:G55)</f>
        <v>74.620126162404</v>
      </c>
      <c r="D6" s="33" t="n">
        <f aca="false">MAX('DCF Model'!C51:G55)</f>
        <v>206.861205093555</v>
      </c>
      <c r="E6" s="33" t="n">
        <f aca="false">'DCF Model'!C44</f>
        <v>114.433314216316</v>
      </c>
    </row>
    <row r="7" customFormat="false" ht="15" hidden="false" customHeight="false" outlineLevel="0" collapsed="false">
      <c r="B7" s="5" t="s">
        <v>186</v>
      </c>
      <c r="C7" s="33" t="n">
        <f aca="false">'Trading Comps'!E21</f>
        <v>70.7861126101817</v>
      </c>
      <c r="D7" s="33" t="n">
        <f aca="false">'Trading Comps'!E24</f>
        <v>128.206511962583</v>
      </c>
      <c r="E7" s="33" t="n">
        <f aca="false">'Trading Comps'!E22</f>
        <v>95.3094081669365</v>
      </c>
    </row>
    <row r="8" customFormat="false" ht="15" hidden="false" customHeight="false" outlineLevel="0" collapsed="false">
      <c r="B8" s="5" t="s">
        <v>187</v>
      </c>
      <c r="C8" s="33" t="n">
        <f aca="false">'Precedent Transactions'!E21</f>
        <v>62.4123043712898</v>
      </c>
      <c r="D8" s="33" t="n">
        <f aca="false">'Precedent Transactions'!E23</f>
        <v>202.374527792769</v>
      </c>
      <c r="E8" s="33" t="n">
        <f aca="false">'Precedent Transactions'!E22</f>
        <v>146.150386760209</v>
      </c>
    </row>
    <row r="10" customFormat="false" ht="15" hidden="false" customHeight="false" outlineLevel="0" collapsed="false">
      <c r="B10" s="5" t="s">
        <v>114</v>
      </c>
      <c r="E10" s="33" t="n">
        <f aca="false">'Cover &amp; Assumptions'!C7</f>
        <v>85.34</v>
      </c>
    </row>
    <row r="12" customFormat="false" ht="15" hidden="false" customHeight="false" outlineLevel="0" collapsed="false">
      <c r="B12" s="45" t="s">
        <v>183</v>
      </c>
      <c r="C12" s="45" t="s">
        <v>188</v>
      </c>
      <c r="D12" s="45" t="s">
        <v>189</v>
      </c>
    </row>
    <row r="13" customFormat="false" ht="15" hidden="false" customHeight="false" outlineLevel="0" collapsed="false">
      <c r="B13" s="5" t="str">
        <f aca="false">B6</f>
        <v>DCF — Gordon Growth (sensitivity range)</v>
      </c>
      <c r="C13" s="46" t="n">
        <f aca="false">C6</f>
        <v>74.620126162404</v>
      </c>
      <c r="D13" s="46" t="n">
        <f aca="false">D6-C6</f>
        <v>132.241078931151</v>
      </c>
    </row>
    <row r="14" customFormat="false" ht="15" hidden="false" customHeight="false" outlineLevel="0" collapsed="false">
      <c r="B14" s="5" t="str">
        <f aca="false">B7</f>
        <v>Trading Comps (EV/EBITDA)</v>
      </c>
      <c r="C14" s="46" t="n">
        <f aca="false">C7</f>
        <v>70.7861126101817</v>
      </c>
      <c r="D14" s="46" t="n">
        <f aca="false">D7-C7</f>
        <v>57.4203993524015</v>
      </c>
    </row>
    <row r="15" customFormat="false" ht="15" hidden="false" customHeight="false" outlineLevel="0" collapsed="false">
      <c r="B15" s="5" t="str">
        <f aca="false">B8</f>
        <v>Precedent Transactions (EV/EBITDA)</v>
      </c>
      <c r="C15" s="46" t="n">
        <f aca="false">C8</f>
        <v>62.4123043712898</v>
      </c>
      <c r="D15" s="46" t="n">
        <f aca="false">D8-C8</f>
        <v>139.962223421479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2026-10-02T10:54:03Z</dcterms:created>
  <dc:creator>openpyxl</dc:creator>
  <dc:description/>
  <dc:language>en-US</dc:language>
  <cp:lastModifiedBy/>
  <dcterms:modified xsi:type="dcterms:W3CDTF">2026-10-02T10:54:05Z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