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Assumptions" sheetId="1" state="visible" r:id="rId3"/>
    <sheet name="WACC" sheetId="2" state="visible" r:id="rId4"/>
    <sheet name="DCF Model" sheetId="3" state="visible" r:id="rId5"/>
    <sheet name="Trading Comps" sheetId="4" state="visible" r:id="rId6"/>
    <sheet name="Precedent Transactions" sheetId="5" state="visible" r:id="rId7"/>
    <sheet name="Football Fiel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<sst xmlns="http://schemas.openxmlformats.org/spreadsheetml/2006/main" count="231" uniqueCount="214">
  <si>
    <t xml:space="preserve">Diageo plc (LSE: DGE / NYSE: DEO)</t>
  </si>
  <si>
    <t xml:space="preserve">Discounted Cash Flow, Trading Comparables &amp; Precedent Transaction Analysis</t>
  </si>
  <si>
    <t xml:space="preserve">Prepared for placement application preparation — illustrative valuation model | Valuation date: 11 September 2026</t>
  </si>
  <si>
    <t xml:space="preserve">COMPANY SNAPSHOT</t>
  </si>
  <si>
    <t xml:space="preserve">Share price (DEO, 11-Sep-2026)</t>
  </si>
  <si>
    <t xml:space="preserve">Yahoo Finance, DEO quote, 11 Sep 2026</t>
  </si>
  <si>
    <t xml:space="preserve">Diluted shares outstanding (mm)</t>
  </si>
  <si>
    <t xml:space="preserve">Morningstar / stockanalysis.com, Sep 2026</t>
  </si>
  <si>
    <t xml:space="preserve">Market capitalisation ($mm)</t>
  </si>
  <si>
    <t xml:space="preserve">Share price x shares outstanding</t>
  </si>
  <si>
    <t xml:space="preserve">Net debt, FY2025A ($mm)</t>
  </si>
  <si>
    <t xml:space="preserve">Diageo FY25 Preliminary Results, 5-Aug-2025, p.17</t>
  </si>
  <si>
    <t xml:space="preserve">Enterprise value, current ($mm)</t>
  </si>
  <si>
    <t xml:space="preserve">Market cap + net debt (cross-check: reported EV ~$71.1bn per stockanalysis.com)</t>
  </si>
  <si>
    <t xml:space="preserve">Fiscal year end</t>
  </si>
  <si>
    <t xml:space="preserve">30-Jun</t>
  </si>
  <si>
    <t xml:space="preserve">Diageo FY runs 1 Jul - 30 Jun</t>
  </si>
  <si>
    <t xml:space="preserve">FY2025A KEY FINANCIALS ($mm, unless noted)</t>
  </si>
  <si>
    <t xml:space="preserve">Net sales</t>
  </si>
  <si>
    <t xml:space="preserve">Diageo FY25 Prelim Results, 5-Aug-2025</t>
  </si>
  <si>
    <t xml:space="preserve">Operating profit before exceptional items</t>
  </si>
  <si>
    <t xml:space="preserve">Diageo FY25 Prelim Results (adjusted operating profit)</t>
  </si>
  <si>
    <t xml:space="preserve">  Operating margin before exceptional items</t>
  </si>
  <si>
    <t xml:space="preserve">EBIT before exceptionals / net sales</t>
  </si>
  <si>
    <t xml:space="preserve">D&amp;A (excl. exceptional impairment)</t>
  </si>
  <si>
    <t xml:space="preserve">Diageo FY25 Financial Report 2025, segmental note</t>
  </si>
  <si>
    <t xml:space="preserve">Net capital expenditure</t>
  </si>
  <si>
    <t xml:space="preserve">Diageo FY25 Prelim Results, p.17</t>
  </si>
  <si>
    <t xml:space="preserve">Net increase in working capital (cash outflow)</t>
  </si>
  <si>
    <t xml:space="preserve">Diageo FY25 Financial Report, cash flow statement</t>
  </si>
  <si>
    <t xml:space="preserve">Effective tax rate FY25A</t>
  </si>
  <si>
    <t xml:space="preserve">Taxation $999mm / profit before tax $3,537mm, FY25 Financial Report</t>
  </si>
  <si>
    <t xml:space="preserve">MODEL NAVIGATION</t>
  </si>
  <si>
    <t xml:space="preserve">•  WACC — cost of capital build-up (CAPM)</t>
  </si>
  <si>
    <t xml:space="preserve">•  DCF Model — 5-year unlevered FCF projection, terminal value, sensitivity</t>
  </si>
  <si>
    <t xml:space="preserve">•  Trading Comps — listed spirits peer multiples applied to Diageo</t>
  </si>
  <si>
    <t xml:space="preserve">•  Precedent Transactions — historical M&amp;A multiples in beverage alcohol</t>
  </si>
  <si>
    <t xml:space="preserve">•  Football Field — summary valuation range across all three methods</t>
  </si>
  <si>
    <t xml:space="preserve">KEY ASSUMPTIONS / NOTES</t>
  </si>
  <si>
    <t xml:space="preserve">-  All figures in USD millions unless stated, matching Diageo's reported functional currency.</t>
  </si>
  <si>
    <t xml:space="preserve">-  Base year FY2025A (year ended 30 June 2025). Explicit forecast FY2026E-FY2030E.</t>
  </si>
  <si>
    <t xml:space="preserve">-  Blue cells = hardcoded inputs/sources. Black = formulas. Green = links to another sheet.</t>
  </si>
  <si>
    <t xml:space="preserve">-  This is a self-directed, illustrative student model built from public filings for CV/interview preparation — not investment advice.</t>
  </si>
  <si>
    <t xml:space="preserve">Weighted Average Cost of Capital — CAPM Build-Up</t>
  </si>
  <si>
    <t xml:space="preserve">COST OF EQUITY (CAPM)</t>
  </si>
  <si>
    <t xml:space="preserve">Risk-free rate (US 10-year Treasury)</t>
  </si>
  <si>
    <t xml:space="preserve">U.S. 10Y Treasury yield, 11 Sep 2026 (FRED DGS10 / Bloomberg)</t>
  </si>
  <si>
    <t xml:space="preserve">Levered beta (5Y monthly, blended)</t>
  </si>
  <si>
    <t xml:space="preserve">Providers show wide dispersion (Yahoo Finance 0.32, WallStreetZen 0.56-0.57); 0.60 used, at the upper end of the range, consistent with the independent WACC cross-check below</t>
  </si>
  <si>
    <t xml:space="preserve">Equity risk premium (US, long-run)</t>
  </si>
  <si>
    <t xml:space="preserve">Standard long-run US ERP assumption (~5.5%), consistent with Damodaran-style estimates</t>
  </si>
  <si>
    <t xml:space="preserve">Cost of equity</t>
  </si>
  <si>
    <t xml:space="preserve">Rf + Beta x ERP</t>
  </si>
  <si>
    <t xml:space="preserve">COST OF DEBT</t>
  </si>
  <si>
    <t xml:space="preserve">Pre-tax cost of debt</t>
  </si>
  <si>
    <t xml:space="preserve">Approx. Diageo blended cost of debt, 5-6% range (Simply Wall St / showmethevalue.substack.com FY25 analysis)</t>
  </si>
  <si>
    <t xml:space="preserve">Marginal tax rate</t>
  </si>
  <si>
    <t xml:space="preserve">UK statutory corporation tax rate (2026), close to Diageo's FY25 effective rate of ~28%</t>
  </si>
  <si>
    <t xml:space="preserve">After-tax cost of debt</t>
  </si>
  <si>
    <t xml:space="preserve">Pre-tax cost of debt x (1 - tax rate)</t>
  </si>
  <si>
    <t xml:space="preserve">CAPITAL STRUCTURE WEIGHTS</t>
  </si>
  <si>
    <t xml:space="preserve">Market value of equity ($mm)</t>
  </si>
  <si>
    <t xml:space="preserve">Cover tab — current market capitalisation</t>
  </si>
  <si>
    <t xml:space="preserve">Net debt ($mm)</t>
  </si>
  <si>
    <t xml:space="preserve">Cover tab — FY25A net debt</t>
  </si>
  <si>
    <t xml:space="preserve">Total capital ($mm)</t>
  </si>
  <si>
    <t xml:space="preserve">Equity + net debt</t>
  </si>
  <si>
    <t xml:space="preserve">Weight of equity (E/V)</t>
  </si>
  <si>
    <t xml:space="preserve">=</t>
  </si>
  <si>
    <t xml:space="preserve">Weight of debt (D/V)</t>
  </si>
  <si>
    <t xml:space="preserve">WACC</t>
  </si>
  <si>
    <t xml:space="preserve">Weighted Average Cost of Capital</t>
  </si>
  <si>
    <t xml:space="preserve">(E/V x Cost of equity) + (D/V x After-tax cost of debt)</t>
  </si>
  <si>
    <t xml:space="preserve">Cross-check: showmethevalue.substack.com FY2025 analysis independently estimates Diageo's WACC at 7-8%, consistent with the build-up above.</t>
  </si>
  <si>
    <t xml:space="preserve">Diageo plc — Unlevered Free Cash Flow DCF (FY2026E-FY2030E)</t>
  </si>
  <si>
    <t xml:space="preserve">$ millions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</si>
  <si>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</si>
  <si>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</si>
  <si>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</si>
  <si>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</si>
  <si>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</si>
  <si>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</si>
  <si>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  % growth (organic, ex-FX/disposals)</t>
  </si>
  <si>
    <t xml:space="preserve">Assumption: gradual recovery from FY25 tariff/volume headwinds toward ~3% mid-cycle organic growth by FY30, consistent with peer growth outlook (dealascent.com Q2 2026 beverages report; Diageo Accelerate targets).</t>
  </si>
  <si>
    <t xml:space="preserve">EBIT margin (before exceptional items)</t>
  </si>
  <si>
    <t xml:space="preserve">Assumption: gradual margin recovery toward ~30% as Accelerate cost programme and lower capex intensity offset tariff drag (Diageo FY25 Prelim Results, Accelerate programme commentary).</t>
  </si>
  <si>
    <t xml:space="preserve">EBIT</t>
  </si>
  <si>
    <t xml:space="preserve">Tax rate</t>
  </si>
  <si>
    <t xml:space="preserve">UK statutory corporation tax rate, held flat across the forecast (Cover tab notes FY25A effective rate ~28%).</t>
  </si>
  <si>
    <t xml:space="preserve">Less: taxes on EBIT</t>
  </si>
  <si>
    <t xml:space="preserve">NOPAT</t>
  </si>
  <si>
    <t xml:space="preserve">D&amp;A (% of net sales)</t>
  </si>
  <si>
    <t xml:space="preserve">FY25A D&amp;A (excl. exceptional impairment) of $748mm = 3.7% of sales; held broadly flat (Diageo FY25 Financial Report).</t>
  </si>
  <si>
    <t xml:space="preserve">Add: D&amp;A</t>
  </si>
  <si>
    <t xml:space="preserve">Capex (% of net sales)</t>
  </si>
  <si>
    <t xml:space="preserve">FY25A net capex was 7.6% of sales; Diageo's Accelerate programme explicitly targets capex down to 'mid-single-digit' % of sales within 3 years (showmethevalue.substack.com FY2025 analysis; Diageo FY25 Prelim Results).</t>
  </si>
  <si>
    <t xml:space="preserve">Less: capital expenditure</t>
  </si>
  <si>
    <t xml:space="preserve">Increase in net working capital (% of sales)</t>
  </si>
  <si>
    <t xml:space="preserve">FY25A net working capital outflow was $77mm (0.4% of sales); assumed to stay small and roughly proportional to sales growth.</t>
  </si>
  <si>
    <t xml:space="preserve">Less: increase in net working capital</t>
  </si>
  <si>
    <t xml:space="preserve">Unlevered free cash flow</t>
  </si>
  <si>
    <t xml:space="preserve">Discount period (mid-year convention not applied)</t>
  </si>
  <si>
    <t xml:space="preserve">Discount factor</t>
  </si>
  <si>
    <t xml:space="preserve">PV of unlevered FCF</t>
  </si>
  <si>
    <t xml:space="preserve">TERMINAL VALUE — GORDON GROWTH METHOD</t>
  </si>
  <si>
    <t xml:space="preserve">Terminal growth rate (g)</t>
  </si>
  <si>
    <t xml:space="preserve">Long-run assumption ~ global nominal GDP/inflation for a mature spirits business.</t>
  </si>
  <si>
    <t xml:space="preserve">Terminal value at end of FY2030E</t>
  </si>
  <si>
    <t xml:space="preserve">PV of terminal value</t>
  </si>
  <si>
    <t xml:space="preserve">ENTERPRISE &amp; EQUITY VALUE BRIDGE (Gordon Growth basis)</t>
  </si>
  <si>
    <t xml:space="preserve">Sum of PV of explicit FCF (FY26E-FY30E)</t>
  </si>
  <si>
    <t xml:space="preserve">Implied enterprise value</t>
  </si>
  <si>
    <t xml:space="preserve">TV as % of EV:</t>
  </si>
  <si>
    <t xml:space="preserve">Less: net debt</t>
  </si>
  <si>
    <t xml:space="preserve">Implied equity value</t>
  </si>
  <si>
    <t xml:space="preserve">Implied value per share</t>
  </si>
  <si>
    <t xml:space="preserve">Current share price (DEO)</t>
  </si>
  <si>
    <t xml:space="preserve">Implied upside / (downside)</t>
  </si>
  <si>
    <t xml:space="preserve">CROSS-CHECK — EXIT MULTIPLE METHOD</t>
  </si>
  <si>
    <t xml:space="preserve">Exit EV/EBITDA multiple</t>
  </si>
  <si>
    <t xml:space="preserve">Set at the median FY2026E EV/EBITDA of the trading comp set — see 'Trading Comps' tab.</t>
  </si>
  <si>
    <t xml:space="preserve">Terminal year EBITDA (FY2030E EBIT + D&amp;A)</t>
  </si>
  <si>
    <t xml:space="preserve">Terminal value (exit multiple)</t>
  </si>
  <si>
    <t xml:space="preserve">PV of terminal value (exit multiple)</t>
  </si>
  <si>
    <t xml:space="preserve">Implied enterprise value (exit multiple)</t>
  </si>
  <si>
    <t xml:space="preserve">Implied value per share (exit multiple)</t>
  </si>
  <si>
    <t xml:space="preserve">SENSITIVITY — IMPLIED SHARE PRICE ($/share)</t>
  </si>
  <si>
    <t xml:space="preserve">Rows: terminal growth rate (g)  |  Columns: WACC</t>
  </si>
  <si>
    <t xml:space="preserve">g  \  WACC</t>
  </si>
  <si>
    <t xml:space="preserve">Base case (centre cell, highlighted) matches the Gordon Growth valuation above. Sensitivity confirms the valuation is most exposed to the WACC assumption, typical of a low-growth, mature staples business.</t>
  </si>
  <si>
    <t xml:space="preserve">Trading Comparables — Listed Beverage Alcohol Peers</t>
  </si>
  <si>
    <t xml:space="preserve">Source: dealascent.com, 'Beverages M&amp;A Q2 2026: Soft Drinks vs Alcohol Valuation' (EV/EBITDA 2026E, EBITDA margin); market caps as of Q2 2026 in local currency</t>
  </si>
  <si>
    <t xml:space="preserve">Company</t>
  </si>
  <si>
    <t xml:space="preserve">Country</t>
  </si>
  <si>
    <t xml:space="preserve">Mkt Cap (local ccy, mm)</t>
  </si>
  <si>
    <t xml:space="preserve">EV/EBITDA 2026E</t>
  </si>
  <si>
    <t xml:space="preserve">EBITDA Margin 2026E</t>
  </si>
  <si>
    <t xml:space="preserve">Rev Growth avg FY26-28E</t>
  </si>
  <si>
    <t xml:space="preserve">Rémy Cointreau SA</t>
  </si>
  <si>
    <t xml:space="preserve">France</t>
  </si>
  <si>
    <t xml:space="preserve">Constellation Brands</t>
  </si>
  <si>
    <t xml:space="preserve">US</t>
  </si>
  <si>
    <t xml:space="preserve">Davide Campari-Milano N.V.</t>
  </si>
  <si>
    <t xml:space="preserve">Netherlands</t>
  </si>
  <si>
    <t xml:space="preserve">Pernod Ricard</t>
  </si>
  <si>
    <t xml:space="preserve">Diageo PLC (for reference — excluded from peer stats)</t>
  </si>
  <si>
    <t xml:space="preserve">PEER SET STATISTICS (excl. Diageo)</t>
  </si>
  <si>
    <t xml:space="preserve">Mean EV/EBITDA 2026E</t>
  </si>
  <si>
    <t xml:space="preserve">Median EV/EBITDA 2026E</t>
  </si>
  <si>
    <t xml:space="preserve">Low</t>
  </si>
  <si>
    <t xml:space="preserve">High</t>
  </si>
  <si>
    <t xml:space="preserve">IMPLIED VALUATION OF DIAGEO (applying peer multiples to Diageo FY25A EBITDA)</t>
  </si>
  <si>
    <t xml:space="preserve">Diageo FY2025A EBITDA (EBIT before exceptionals + D&amp;A)</t>
  </si>
  <si>
    <t xml:space="preserve">$5,704mm EBIT before exceptional items + $748mm D&amp;A (both per Cover &amp; Assumptions tab, FY25A).</t>
  </si>
  <si>
    <t xml:space="preserve">Basis</t>
  </si>
  <si>
    <t xml:space="preserve">Multiple</t>
  </si>
  <si>
    <t xml:space="preserve">Implied EV ($mm)</t>
  </si>
  <si>
    <t xml:space="preserve">Implied share price</t>
  </si>
  <si>
    <t xml:space="preserve">Low (min peer multiple)</t>
  </si>
  <si>
    <t xml:space="preserve">Median peer multiple</t>
  </si>
  <si>
    <t xml:space="preserve">Mean peer multiple</t>
  </si>
  <si>
    <t xml:space="preserve">High (max peer multiple)</t>
  </si>
  <si>
    <t xml:space="preserve">Cross-check: applying the peer median (~11.1x) to Diageo's FY25A EBITDA of ~$6.45bn implies an EV of ~$71-72bn, closely matching Diageo's actual current EV (~$71bn) — a reasonable sanity check on both the peer set and Diageo's own EBITDA base.</t>
  </si>
  <si>
    <t xml:space="preserve">Precedent Transaction Analysis — Beverage Alcohol M&amp;A</t>
  </si>
  <si>
    <t xml:space="preserve">Selected historical deals in spirits/beverage alcohol with disclosed enterprise value and multiple data</t>
  </si>
  <si>
    <t xml:space="preserve">Date</t>
  </si>
  <si>
    <t xml:space="preserve">Target</t>
  </si>
  <si>
    <t xml:space="preserve">Acquirer</t>
  </si>
  <si>
    <t xml:space="preserve">Subsector</t>
  </si>
  <si>
    <t xml:space="preserve">Deal EV ($mm)</t>
  </si>
  <si>
    <t xml:space="preserve">EV/EBITDA</t>
  </si>
  <si>
    <t xml:space="preserve">Source</t>
  </si>
  <si>
    <t xml:space="preserve">Jan-2014</t>
  </si>
  <si>
    <t xml:space="preserve">Beam Inc.</t>
  </si>
  <si>
    <t xml:space="preserve">Suntory Holdings</t>
  </si>
  <si>
    <t xml:space="preserve">Spirits (bourbon/global)</t>
  </si>
  <si>
    <t xml:space="preserve">just-drinks.com, 'Spirits Acquisition Multiples 2001-Present' (Nomura data)</t>
  </si>
  <si>
    <t xml:space="preserve">Dec-2025</t>
  </si>
  <si>
    <t xml:space="preserve">East African Breweries (EABL)</t>
  </si>
  <si>
    <t xml:space="preserve">Asahi Group Holdings</t>
  </si>
  <si>
    <t xml:space="preserve">Beer &amp; spirits (East Africa)</t>
  </si>
  <si>
    <t xml:space="preserve">dealascent.com, Beverages M&amp;A Q2 2026 report</t>
  </si>
  <si>
    <t xml:space="preserve">May-2026</t>
  </si>
  <si>
    <t xml:space="preserve">Averna &amp; Zedda Piras</t>
  </si>
  <si>
    <t xml:space="preserve">Illva Saronno</t>
  </si>
  <si>
    <t xml:space="preserve">Spirits (Italian amari/liqueurs)</t>
  </si>
  <si>
    <t xml:space="preserve">dealascent.com, Beverages M&amp;A Q2 2026 report (EUR100mm converted at ~1.08 EUR/USD)</t>
  </si>
  <si>
    <t xml:space="preserve">Jan-2019</t>
  </si>
  <si>
    <t xml:space="preserve">Fuller, Smith &amp; Turner (beer business)</t>
  </si>
  <si>
    <t xml:space="preserve">Beer (UK)</t>
  </si>
  <si>
    <t xml:space="preserve">n/d</t>
  </si>
  <si>
    <t xml:space="preserve">Craft Brew Alliance DEFM14A (2020), Goldman Sachs selected transactions analysis</t>
  </si>
  <si>
    <t xml:space="preserve">Note: EV/Revenue-only deals (e.g. AB InBev/BeatBox Beverages, Dec-2025, 2.6x EV/Revenue; Diageo/Lobos 1707-Cîroc swap, 2025) are excluded here as they lack disclosed EBITDA multiples comparable to the set above (Capstone Partners Beverage M&amp;A Coverage Report, March 2026; Park Street 'Roundup of M&amp;A in 2025').</t>
  </si>
  <si>
    <t xml:space="preserve">PRECEDENT TRANSACTION STATISTICS (EV/EBITDA)</t>
  </si>
  <si>
    <t xml:space="preserve">(Statistics below computed on the three spirits-only deals; the Fuller/Asahi UK beer deal is shown for reference but excluded as an outlier from a different subsector.)</t>
  </si>
  <si>
    <t xml:space="preserve">Mean (spirits deals only)</t>
  </si>
  <si>
    <t xml:space="preserve">Median (spirits deals only)</t>
  </si>
  <si>
    <t xml:space="preserve">Low (spirits deals only)</t>
  </si>
  <si>
    <t xml:space="preserve">High (spirits deals only)</t>
  </si>
  <si>
    <t xml:space="preserve">Precedent multiples embed a control premium and are systematically higher than trading comps (e.g. Beam/Suntory at 20x reflected a strategic, scarcity-value premium for a scaled American whiskey platform). Applying these multiples to a minority-stake DCF/comps context would overstate value; they are shown here as a cross-check on M&amp;A-implied pricing rather than a primary valuation basis for Diageo.</t>
  </si>
  <si>
    <t xml:space="preserve">IMPLIED VALUATION OF DIAGEO (illustrative — applying precedent multiples to FY25A EBITDA)</t>
  </si>
  <si>
    <t xml:space="preserve">Diageo FY2025A EBITDA</t>
  </si>
  <si>
    <t xml:space="preserve">Median</t>
  </si>
  <si>
    <t xml:space="preserve">Diageo plc — Valuation Summary ('Football Field')</t>
  </si>
  <si>
    <t xml:space="preserve">Implied value per share ($) across methodologies</t>
  </si>
  <si>
    <t xml:space="preserve">Methodology</t>
  </si>
  <si>
    <t xml:space="preserve">Base / Median</t>
  </si>
  <si>
    <t xml:space="preserve">DCF — Gordon Growth (sensitivity range)</t>
  </si>
  <si>
    <t xml:space="preserve">Trading Comps (EV/EBITDA)</t>
  </si>
  <si>
    <t xml:space="preserve">Precedent Transactions (EV/EBITDA)</t>
  </si>
  <si>
    <t xml:space="preserve">Trading comps and the DCF centre case bracket the current share price closely, suggesting the market is pricing Diageo close to fair value on a fundamentals basis. Precedent transaction multiples sit meaningfully higher, reflecting the control premium a strategic acquirer would pay (as seen in the March 2026 Pernod Ricard / Brown-Forman merger talks) rather than a standalone public-market valuation.</t>
  </si>
  <si>
    <t xml:space="preserve">CHART DATA (base = low value, range = high-low, used to build a floating bar chart)</t>
  </si>
  <si>
    <t xml:space="preserve">Base (Low)</t>
  </si>
  <si>
    <t xml:space="preserve">Range (High-Low)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</si>
</sst>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.0"/>
    <numFmt numFmtId="167" formatCode="\$#,##0;&quot;($&quot;#,##0\);\-"/>
    <numFmt numFmtId="168" formatCode="0.0%"/>
    <numFmt numFmtId="169" formatCode="0.00%"/>
    <numFmt numFmtId="170" formatCode="0.00"/>
    <numFmt numFmtId="171" formatCode="0"/>
    <numFmt numFmtId="172" formatCode="0.000"/>
    <numFmt numFmtId="173" formatCode="0.0\x"/>
    <numFmt numFmtId="174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Diageo Implied Value per Share — Football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'Football Field'!C16</c:f>
              <c:strCache>
                <c:ptCount val="1"/>
                <c:pt idx="0">
                  <c:v>Base (Low)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Field'!$B$17:$B$19</c:f>
              <c:strCache>
                <c:ptCount val="3"/>
                <c:pt idx="0">
                  <c:v>DCF — Gordon Growth (sensitivity range)</c:v>
                </c:pt>
                <c:pt idx="1">
                  <c:v>Trading Comps (EV/EBITDA)</c:v>
                </c:pt>
                <c:pt idx="2">
                  <c:v>Precedent Transactions (EV/EBITDA)</c:v>
                </c:pt>
              </c:strCache>
            </c:strRef>
          </c:cat>
          <c:val>
            <c:numRef>
              <c:f>'Football Field'!$C$17:$C$19</c:f>
              <c:numCache>
                <c:formatCode>\$#,##0.00</c:formatCode>
                <c:ptCount val="3"/>
                <c:pt idx="0">
                  <c:v>69.9166635272291</c:v>
                </c:pt>
                <c:pt idx="1">
                  <c:v>65.1448102176651</c:v>
                </c:pt>
                <c:pt idx="2">
                  <c:v>57.0203273970139</c:v>
                </c:pt>
              </c:numCache>
            </c:numRef>
          </c:val>
        </c:ser>
        <c:ser>
          <c:idx val="1"/>
          <c:order val="1"/>
          <c:tx>
            <c:strRef>
              <c:f>'Football Field'!D16</c:f>
              <c:strCache>
                <c:ptCount val="1"/>
                <c:pt idx="0">
                  <c:v>Range (High-Low)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Field'!$B$17:$B$19</c:f>
              <c:strCache>
                <c:ptCount val="3"/>
                <c:pt idx="0">
                  <c:v>DCF — Gordon Growth (sensitivity range)</c:v>
                </c:pt>
                <c:pt idx="1">
                  <c:v>Trading Comps (EV/EBITDA)</c:v>
                </c:pt>
                <c:pt idx="2">
                  <c:v>Precedent Transactions (EV/EBITDA)</c:v>
                </c:pt>
              </c:strCache>
            </c:strRef>
          </c:cat>
          <c:val>
            <c:numRef>
              <c:f>'Football Field'!$D$17:$D$19</c:f>
              <c:numCache>
                <c:formatCode>\$#,##0.00</c:formatCode>
                <c:ptCount val="3"/>
                <c:pt idx="0">
                  <c:v>133.14424915066</c:v>
                </c:pt>
                <c:pt idx="1">
                  <c:v>55.7107393416082</c:v>
                </c:pt>
                <c:pt idx="2">
                  <c:v>135.79492714517</c:v>
                </c:pt>
              </c:numCache>
            </c:numRef>
          </c:val>
        </c:ser>
        <c:gapWidth val="150"/>
        <c:overlap val="100"/>
        <c:axId val="7535210"/>
        <c:axId val="58236662"/>
      </c:barChart>
      <c:catAx>
        <c:axId val="75352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share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36662"/>
        <c:crosses val="autoZero"/>
        <c:auto val="1"/>
        <c:lblAlgn val="ctr"/>
        <c:lblOffset val="100"/>
        <c:noMultiLvlLbl val="0"/>
      </c:catAx>
      <c:valAx>
        <c:axId val="58236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5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160560</xdr:rowOff>
    </xdr:from>
    <xdr:to>
      <xdr:col>5</xdr:col>
      <xdr:colOff>981720</xdr:colOff>
      <xdr:row>33</xdr:row>
      <xdr:rowOff>13320</xdr:rowOff>
    </xdr:to>
    <xdr:graphicFrame>
      <xdr:nvGraphicFramePr>
        <xdr:cNvPr id="0" name="Chart 1"/>
        <xdr:cNvGraphicFramePr/>
      </xdr:nvGraphicFramePr>
      <xdr:xfrm>
        <a:off x="211320" y="386712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6"/>
    <col collapsed="false" customWidth="true" hidden="false" outlineLevel="0" max="7" min="7" style="0" width="5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</row>
    <row r="7" customFormat="false" ht="15" hidden="false" customHeight="false" outlineLevel="0" collapsed="false">
      <c r="B7" s="5" t="s">
        <v>4</v>
      </c>
      <c r="C7" s="6" t="n">
        <v>86.41</v>
      </c>
      <c r="G7" s="3" t="s">
        <v>5</v>
      </c>
    </row>
    <row r="8" customFormat="false" ht="15" hidden="false" customHeight="false" outlineLevel="0" collapsed="false">
      <c r="B8" s="5" t="s">
        <v>6</v>
      </c>
      <c r="C8" s="7" t="n">
        <v>555.9</v>
      </c>
      <c r="G8" s="3" t="s">
        <v>7</v>
      </c>
    </row>
    <row r="9" customFormat="false" ht="15" hidden="false" customHeight="false" outlineLevel="0" collapsed="false">
      <c r="B9" s="5" t="s">
        <v>8</v>
      </c>
      <c r="C9" s="8" t="n">
        <f aca="false">C7*C8</f>
        <v>48035.319</v>
      </c>
      <c r="G9" s="3" t="s">
        <v>9</v>
      </c>
    </row>
    <row r="10" customFormat="false" ht="15" hidden="false" customHeight="false" outlineLevel="0" collapsed="false">
      <c r="B10" s="5" t="s">
        <v>10</v>
      </c>
      <c r="C10" s="9" t="n">
        <v>21854</v>
      </c>
      <c r="G10" s="3" t="s">
        <v>11</v>
      </c>
    </row>
    <row r="11" customFormat="false" ht="15" hidden="false" customHeight="false" outlineLevel="0" collapsed="false">
      <c r="B11" s="5" t="s">
        <v>12</v>
      </c>
      <c r="C11" s="8" t="n">
        <f aca="false">C9+C10</f>
        <v>69889.319</v>
      </c>
      <c r="G11" s="3" t="s">
        <v>13</v>
      </c>
    </row>
    <row r="12" customFormat="false" ht="15" hidden="false" customHeight="false" outlineLevel="0" collapsed="false">
      <c r="B12" s="5" t="s">
        <v>14</v>
      </c>
      <c r="C12" s="10" t="s">
        <v>15</v>
      </c>
      <c r="G12" s="3" t="s">
        <v>16</v>
      </c>
    </row>
    <row r="14" customFormat="false" ht="15" hidden="false" customHeight="false" outlineLevel="0" collapsed="false">
      <c r="B14" s="4" t="s">
        <v>17</v>
      </c>
      <c r="C14" s="4"/>
      <c r="D14" s="4"/>
      <c r="E14" s="4"/>
    </row>
    <row r="15" customFormat="false" ht="15" hidden="false" customHeight="false" outlineLevel="0" collapsed="false">
      <c r="B15" s="5" t="s">
        <v>18</v>
      </c>
      <c r="C15" s="9" t="n">
        <v>20245</v>
      </c>
      <c r="G15" s="3" t="s">
        <v>19</v>
      </c>
    </row>
    <row r="16" customFormat="false" ht="15" hidden="false" customHeight="false" outlineLevel="0" collapsed="false">
      <c r="B16" s="5" t="s">
        <v>20</v>
      </c>
      <c r="C16" s="9" t="n">
        <v>5704</v>
      </c>
      <c r="G16" s="3" t="s">
        <v>21</v>
      </c>
    </row>
    <row r="17" customFormat="false" ht="15" hidden="false" customHeight="false" outlineLevel="0" collapsed="false">
      <c r="B17" s="5" t="s">
        <v>22</v>
      </c>
      <c r="C17" s="11" t="n">
        <f aca="false">C16/C15</f>
        <v>0.281748579896271</v>
      </c>
      <c r="G17" s="3" t="s">
        <v>23</v>
      </c>
    </row>
    <row r="18" customFormat="false" ht="15" hidden="false" customHeight="false" outlineLevel="0" collapsed="false">
      <c r="B18" s="5" t="s">
        <v>24</v>
      </c>
      <c r="C18" s="9" t="n">
        <v>748</v>
      </c>
      <c r="G18" s="3" t="s">
        <v>25</v>
      </c>
    </row>
    <row r="19" customFormat="false" ht="15" hidden="false" customHeight="false" outlineLevel="0" collapsed="false">
      <c r="B19" s="5" t="s">
        <v>26</v>
      </c>
      <c r="C19" s="9" t="n">
        <v>1549</v>
      </c>
      <c r="G19" s="3" t="s">
        <v>27</v>
      </c>
    </row>
    <row r="20" customFormat="false" ht="15" hidden="false" customHeight="false" outlineLevel="0" collapsed="false">
      <c r="B20" s="5" t="s">
        <v>28</v>
      </c>
      <c r="C20" s="9" t="n">
        <v>77</v>
      </c>
      <c r="G20" s="3" t="s">
        <v>29</v>
      </c>
    </row>
    <row r="21" customFormat="false" ht="15" hidden="false" customHeight="false" outlineLevel="0" collapsed="false">
      <c r="B21" s="5" t="s">
        <v>30</v>
      </c>
      <c r="C21" s="11" t="n">
        <f aca="false">999/3537</f>
        <v>0.282442748091603</v>
      </c>
      <c r="G21" s="3" t="s">
        <v>31</v>
      </c>
    </row>
    <row r="23" customFormat="false" ht="15" hidden="false" customHeight="false" outlineLevel="0" collapsed="false">
      <c r="B23" s="4" t="s">
        <v>32</v>
      </c>
      <c r="C23" s="4"/>
      <c r="D23" s="4"/>
      <c r="E23" s="4"/>
    </row>
    <row r="24" customFormat="false" ht="15" hidden="false" customHeight="false" outlineLevel="0" collapsed="false">
      <c r="B24" s="5" t="s">
        <v>33</v>
      </c>
    </row>
    <row r="25" customFormat="false" ht="15" hidden="false" customHeight="false" outlineLevel="0" collapsed="false">
      <c r="B25" s="5" t="s">
        <v>34</v>
      </c>
    </row>
    <row r="26" customFormat="false" ht="15" hidden="false" customHeight="false" outlineLevel="0" collapsed="false">
      <c r="B26" s="5" t="s">
        <v>35</v>
      </c>
    </row>
    <row r="27" customFormat="false" ht="15" hidden="false" customHeight="false" outlineLevel="0" collapsed="false">
      <c r="B27" s="5" t="s">
        <v>36</v>
      </c>
    </row>
    <row r="28" customFormat="false" ht="15" hidden="false" customHeight="false" outlineLevel="0" collapsed="false">
      <c r="B28" s="5" t="s">
        <v>37</v>
      </c>
    </row>
    <row r="30" customFormat="false" ht="15" hidden="false" customHeight="false" outlineLevel="0" collapsed="false">
      <c r="B30" s="4" t="s">
        <v>38</v>
      </c>
      <c r="C30" s="4"/>
      <c r="D30" s="4"/>
      <c r="E30" s="4"/>
    </row>
    <row r="31" customFormat="false" ht="15" hidden="false" customHeight="false" outlineLevel="0" collapsed="false">
      <c r="B31" s="12" t="s">
        <v>39</v>
      </c>
      <c r="C31" s="12"/>
      <c r="D31" s="12"/>
      <c r="E31" s="12"/>
      <c r="F31" s="12"/>
    </row>
    <row r="32" customFormat="false" ht="15" hidden="false" customHeight="false" outlineLevel="0" collapsed="false">
      <c r="B32" s="12" t="s">
        <v>40</v>
      </c>
      <c r="C32" s="12"/>
      <c r="D32" s="12"/>
      <c r="E32" s="12"/>
      <c r="F32" s="12"/>
    </row>
    <row r="33" customFormat="false" ht="15" hidden="false" customHeight="false" outlineLevel="0" collapsed="false">
      <c r="B33" s="12" t="s">
        <v>41</v>
      </c>
      <c r="C33" s="12"/>
      <c r="D33" s="12"/>
      <c r="E33" s="12"/>
      <c r="F33" s="12"/>
    </row>
    <row r="34" customFormat="false" ht="15" hidden="false" customHeight="false" outlineLevel="0" collapsed="false">
      <c r="B34" s="12" t="s">
        <v>42</v>
      </c>
      <c r="C34" s="12"/>
      <c r="D34" s="12"/>
      <c r="E34" s="12"/>
      <c r="F34" s="12"/>
    </row>
  </sheetData>
  <mergeCells count="8">
    <mergeCell ref="B6:E6"/>
    <mergeCell ref="B14:E14"/>
    <mergeCell ref="B23:E23"/>
    <mergeCell ref="B30:E30"/>
    <mergeCell ref="B31:F31"/>
    <mergeCell ref="B32:F32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55"/>
  </cols>
  <sheetData>
    <row r="2" customFormat="false" ht="17.35" hidden="false" customHeight="false" outlineLevel="0" collapsed="false">
      <c r="B2" s="1" t="s">
        <v>43</v>
      </c>
    </row>
    <row r="4" customFormat="false" ht="15" hidden="false" customHeight="false" outlineLevel="0" collapsed="false">
      <c r="B4" s="4" t="s">
        <v>44</v>
      </c>
      <c r="C4" s="4"/>
      <c r="D4" s="4"/>
    </row>
    <row r="5" customFormat="false" ht="15" hidden="false" customHeight="false" outlineLevel="0" collapsed="false">
      <c r="B5" s="5" t="s">
        <v>45</v>
      </c>
      <c r="C5" s="13" t="n">
        <v>0.0495</v>
      </c>
      <c r="E5" s="3" t="s">
        <v>46</v>
      </c>
    </row>
    <row r="6" customFormat="false" ht="15" hidden="false" customHeight="false" outlineLevel="0" collapsed="false">
      <c r="B6" s="5" t="s">
        <v>47</v>
      </c>
      <c r="C6" s="14" t="n">
        <v>0.6</v>
      </c>
      <c r="E6" s="3" t="s">
        <v>48</v>
      </c>
    </row>
    <row r="7" customFormat="false" ht="15" hidden="false" customHeight="false" outlineLevel="0" collapsed="false">
      <c r="B7" s="5" t="s">
        <v>49</v>
      </c>
      <c r="C7" s="13" t="n">
        <v>0.055</v>
      </c>
      <c r="E7" s="3" t="s">
        <v>50</v>
      </c>
    </row>
    <row r="8" customFormat="false" ht="15" hidden="false" customHeight="false" outlineLevel="0" collapsed="false">
      <c r="B8" s="15" t="s">
        <v>51</v>
      </c>
      <c r="C8" s="16" t="n">
        <f aca="false">C5+C6*C7</f>
        <v>0.0825</v>
      </c>
      <c r="E8" s="3" t="s">
        <v>52</v>
      </c>
    </row>
    <row r="10" customFormat="false" ht="15" hidden="false" customHeight="false" outlineLevel="0" collapsed="false">
      <c r="B10" s="4" t="s">
        <v>53</v>
      </c>
      <c r="C10" s="4"/>
      <c r="D10" s="4"/>
    </row>
    <row r="11" customFormat="false" ht="15" hidden="false" customHeight="false" outlineLevel="0" collapsed="false">
      <c r="B11" s="5" t="s">
        <v>54</v>
      </c>
      <c r="C11" s="13" t="n">
        <v>0.055</v>
      </c>
      <c r="E11" s="3" t="s">
        <v>55</v>
      </c>
    </row>
    <row r="12" customFormat="false" ht="15" hidden="false" customHeight="false" outlineLevel="0" collapsed="false">
      <c r="B12" s="5" t="s">
        <v>56</v>
      </c>
      <c r="C12" s="17" t="n">
        <v>0.25</v>
      </c>
      <c r="E12" s="3" t="s">
        <v>57</v>
      </c>
    </row>
    <row r="13" customFormat="false" ht="15" hidden="false" customHeight="false" outlineLevel="0" collapsed="false">
      <c r="B13" s="15" t="s">
        <v>58</v>
      </c>
      <c r="C13" s="16" t="n">
        <f aca="false">C11*(1-C12)</f>
        <v>0.04125</v>
      </c>
      <c r="E13" s="3" t="s">
        <v>59</v>
      </c>
    </row>
    <row r="15" customFormat="false" ht="15" hidden="false" customHeight="false" outlineLevel="0" collapsed="false">
      <c r="B15" s="4" t="s">
        <v>60</v>
      </c>
      <c r="C15" s="4"/>
      <c r="D15" s="4"/>
    </row>
    <row r="16" customFormat="false" ht="15" hidden="false" customHeight="false" outlineLevel="0" collapsed="false">
      <c r="B16" s="5" t="s">
        <v>61</v>
      </c>
      <c r="C16" s="18" t="n">
        <f aca="false">'Cover &amp; Assumptions'!C9</f>
        <v>48035.319</v>
      </c>
      <c r="E16" s="3" t="s">
        <v>62</v>
      </c>
    </row>
    <row r="17" customFormat="false" ht="15" hidden="false" customHeight="false" outlineLevel="0" collapsed="false">
      <c r="B17" s="5" t="s">
        <v>63</v>
      </c>
      <c r="C17" s="18" t="n">
        <f aca="false">'Cover &amp; Assumptions'!C10</f>
        <v>21854</v>
      </c>
      <c r="E17" s="3" t="s">
        <v>64</v>
      </c>
    </row>
    <row r="18" customFormat="false" ht="15" hidden="false" customHeight="false" outlineLevel="0" collapsed="false">
      <c r="B18" s="5" t="s">
        <v>65</v>
      </c>
      <c r="C18" s="8" t="n">
        <f aca="false">C16+C17</f>
        <v>69889.319</v>
      </c>
      <c r="E18" s="3" t="s">
        <v>66</v>
      </c>
    </row>
    <row r="19" customFormat="false" ht="15" hidden="false" customHeight="false" outlineLevel="0" collapsed="false">
      <c r="B19" s="5" t="s">
        <v>67</v>
      </c>
      <c r="C19" s="11" t="n">
        <f aca="false">C16/C18</f>
        <v>0.687305580985844</v>
      </c>
      <c r="E19" s="3" t="s">
        <v>68</v>
      </c>
    </row>
    <row r="20" customFormat="false" ht="15" hidden="false" customHeight="false" outlineLevel="0" collapsed="false">
      <c r="B20" s="5" t="s">
        <v>69</v>
      </c>
      <c r="C20" s="11" t="n">
        <f aca="false">C17/C18</f>
        <v>0.312694419014156</v>
      </c>
      <c r="E20" s="3" t="s">
        <v>68</v>
      </c>
    </row>
    <row r="22" customFormat="false" ht="15" hidden="false" customHeight="false" outlineLevel="0" collapsed="false">
      <c r="B22" s="4" t="s">
        <v>70</v>
      </c>
      <c r="C22" s="4"/>
      <c r="D22" s="4"/>
    </row>
    <row r="23" customFormat="false" ht="15" hidden="false" customHeight="false" outlineLevel="0" collapsed="false">
      <c r="B23" s="15" t="s">
        <v>71</v>
      </c>
      <c r="C23" s="19" t="n">
        <f aca="false">C19*C8+C20*C13</f>
        <v>0.0696013552156661</v>
      </c>
      <c r="E23" s="3" t="s">
        <v>72</v>
      </c>
    </row>
    <row r="25" customFormat="false" ht="15" hidden="false" customHeight="false" outlineLevel="0" collapsed="false">
      <c r="B25" s="12" t="s">
        <v>73</v>
      </c>
      <c r="C25" s="12"/>
      <c r="D25" s="12"/>
      <c r="E25" s="12"/>
    </row>
  </sheetData>
  <mergeCells count="5">
    <mergeCell ref="B4:D4"/>
    <mergeCell ref="B10:D10"/>
    <mergeCell ref="B15:D15"/>
    <mergeCell ref="B22:D22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3"/>
    <col collapsed="false" customWidth="true" hidden="false" outlineLevel="0" max="9" min="9" style="0" width="3"/>
    <col collapsed="false" customWidth="true" hidden="false" outlineLevel="0" max="10" min="10" style="0" width="45"/>
  </cols>
  <sheetData>
    <row r="2" customFormat="false" ht="17.35" hidden="false" customHeight="false" outlineLevel="0" collapsed="false">
      <c r="B2" s="1" t="s">
        <v>74</v>
      </c>
    </row>
    <row r="4" customFormat="false" ht="19.5" hidden="false" customHeight="true" outlineLevel="0" collapsed="false">
      <c r="B4" s="20" t="s">
        <v>75</v>
      </c>
      <c r="C4" s="21" t="s">
        <v>76</v>
      </c>
      <c r="D4" s="21" t="s">
        <v>77</v>
      </c>
      <c r="E4" s="21" t="s">
        <v>78</v>
      </c>
      <c r="F4" s="21" t="s">
        <v>79</v>
      </c>
      <c r="G4" s="21" t="s">
        <v>80</v>
      </c>
      <c r="H4" s="21" t="s">
        <v>81</v>
      </c>
    </row>
    <row r="6" customFormat="false" ht="15" hidden="false" customHeight="false" outlineLevel="0" collapsed="false">
      <c r="B6" s="15" t="s">
        <v>18</v>
      </c>
      <c r="C6" s="18" t="n">
        <f aca="false">'Cover &amp; Assumptions'!C15</f>
        <v>20245</v>
      </c>
      <c r="D6" s="8" t="n">
        <f aca="false">C6*(1+D7)</f>
        <v>20447.45</v>
      </c>
      <c r="E6" s="8" t="n">
        <f aca="false">D6*(1+E7)</f>
        <v>20815.5041</v>
      </c>
      <c r="F6" s="8" t="n">
        <f aca="false">E6*(1+F7)</f>
        <v>21335.8917025</v>
      </c>
      <c r="G6" s="8" t="n">
        <f aca="false">F6*(1+G7)</f>
        <v>21975.968453575</v>
      </c>
      <c r="H6" s="8" t="n">
        <f aca="false">G6*(1+H7)</f>
        <v>22679.1994440894</v>
      </c>
    </row>
    <row r="7" customFormat="false" ht="15" hidden="false" customHeight="false" outlineLevel="0" collapsed="false">
      <c r="B7" s="3" t="s">
        <v>82</v>
      </c>
      <c r="D7" s="17" t="n">
        <v>0.01</v>
      </c>
      <c r="E7" s="17" t="n">
        <v>0.018</v>
      </c>
      <c r="F7" s="17" t="n">
        <v>0.025</v>
      </c>
      <c r="G7" s="17" t="n">
        <v>0.03</v>
      </c>
      <c r="H7" s="17" t="n">
        <v>0.032</v>
      </c>
      <c r="J7" s="3" t="s">
        <v>83</v>
      </c>
    </row>
    <row r="9" customFormat="false" ht="15" hidden="false" customHeight="false" outlineLevel="0" collapsed="false">
      <c r="B9" s="3" t="s">
        <v>84</v>
      </c>
      <c r="C9" s="22" t="n">
        <f aca="false">'Cover &amp; Assumptions'!C17</f>
        <v>0.281748579896271</v>
      </c>
      <c r="D9" s="17" t="n">
        <v>0.283</v>
      </c>
      <c r="E9" s="17" t="n">
        <v>0.287</v>
      </c>
      <c r="F9" s="17" t="n">
        <v>0.291</v>
      </c>
      <c r="G9" s="17" t="n">
        <v>0.295</v>
      </c>
      <c r="H9" s="17" t="n">
        <v>0.298</v>
      </c>
      <c r="J9" s="3" t="s">
        <v>85</v>
      </c>
    </row>
    <row r="10" customFormat="false" ht="15" hidden="false" customHeight="false" outlineLevel="0" collapsed="false">
      <c r="B10" s="15" t="s">
        <v>86</v>
      </c>
      <c r="C10" s="8" t="n">
        <f aca="false">C6*C9</f>
        <v>5704</v>
      </c>
      <c r="D10" s="8" t="n">
        <f aca="false">D6*D9</f>
        <v>5786.62835</v>
      </c>
      <c r="E10" s="8" t="n">
        <f aca="false">E6*E9</f>
        <v>5974.0496767</v>
      </c>
      <c r="F10" s="8" t="n">
        <f aca="false">F6*F9</f>
        <v>6208.7444854275</v>
      </c>
      <c r="G10" s="8" t="n">
        <f aca="false">G6*G9</f>
        <v>6482.91069380463</v>
      </c>
      <c r="H10" s="8" t="n">
        <f aca="false">H6*H9</f>
        <v>6758.40143433864</v>
      </c>
    </row>
    <row r="12" customFormat="false" ht="15" hidden="false" customHeight="false" outlineLevel="0" collapsed="false">
      <c r="B12" s="3" t="s">
        <v>87</v>
      </c>
      <c r="C12" s="17" t="n">
        <v>0.25</v>
      </c>
      <c r="D12" s="11" t="n">
        <f aca="false">$C$12</f>
        <v>0.25</v>
      </c>
      <c r="E12" s="11" t="n">
        <f aca="false">$C$12</f>
        <v>0.25</v>
      </c>
      <c r="F12" s="11" t="n">
        <f aca="false">$C$12</f>
        <v>0.25</v>
      </c>
      <c r="G12" s="11" t="n">
        <f aca="false">$C$12</f>
        <v>0.25</v>
      </c>
      <c r="H12" s="11" t="n">
        <f aca="false">$C$12</f>
        <v>0.25</v>
      </c>
      <c r="J12" s="3" t="s">
        <v>88</v>
      </c>
    </row>
    <row r="13" customFormat="false" ht="15" hidden="false" customHeight="false" outlineLevel="0" collapsed="false">
      <c r="B13" s="5" t="s">
        <v>89</v>
      </c>
      <c r="C13" s="8" t="n">
        <f aca="false">-C10*C12</f>
        <v>-1426</v>
      </c>
      <c r="D13" s="8" t="n">
        <f aca="false">-D10*D12</f>
        <v>-1446.6570875</v>
      </c>
      <c r="E13" s="8" t="n">
        <f aca="false">-E10*E12</f>
        <v>-1493.512419175</v>
      </c>
      <c r="F13" s="8" t="n">
        <f aca="false">-F10*F12</f>
        <v>-1552.18612135688</v>
      </c>
      <c r="G13" s="8" t="n">
        <f aca="false">-G10*G12</f>
        <v>-1620.72767345116</v>
      </c>
      <c r="H13" s="8" t="n">
        <f aca="false">-H10*H12</f>
        <v>-1689.60035858466</v>
      </c>
    </row>
    <row r="14" customFormat="false" ht="15" hidden="false" customHeight="false" outlineLevel="0" collapsed="false">
      <c r="B14" s="15" t="s">
        <v>90</v>
      </c>
      <c r="C14" s="23" t="n">
        <f aca="false">C10+C13</f>
        <v>4278</v>
      </c>
      <c r="D14" s="23" t="n">
        <f aca="false">D10+D13</f>
        <v>4339.9712625</v>
      </c>
      <c r="E14" s="23" t="n">
        <f aca="false">E10+E13</f>
        <v>4480.537257525</v>
      </c>
      <c r="F14" s="23" t="n">
        <f aca="false">F10+F13</f>
        <v>4656.55836407062</v>
      </c>
      <c r="G14" s="23" t="n">
        <f aca="false">G10+G13</f>
        <v>4862.18302035347</v>
      </c>
      <c r="H14" s="23" t="n">
        <f aca="false">H10+H13</f>
        <v>5068.80107575398</v>
      </c>
    </row>
    <row r="16" customFormat="false" ht="15" hidden="false" customHeight="false" outlineLevel="0" collapsed="false">
      <c r="B16" s="3" t="s">
        <v>91</v>
      </c>
      <c r="C16" s="11" t="n">
        <f aca="false">748/20245</f>
        <v>0.0369473944183749</v>
      </c>
      <c r="D16" s="17" t="n">
        <v>0.036</v>
      </c>
      <c r="E16" s="17" t="n">
        <v>0.036</v>
      </c>
      <c r="F16" s="17" t="n">
        <v>0.035</v>
      </c>
      <c r="G16" s="17" t="n">
        <v>0.035</v>
      </c>
      <c r="H16" s="17" t="n">
        <v>0.035</v>
      </c>
      <c r="J16" s="3" t="s">
        <v>92</v>
      </c>
    </row>
    <row r="17" customFormat="false" ht="15" hidden="false" customHeight="false" outlineLevel="0" collapsed="false">
      <c r="B17" s="5" t="s">
        <v>93</v>
      </c>
      <c r="C17" s="8" t="n">
        <f aca="false">C6*C16</f>
        <v>748</v>
      </c>
      <c r="D17" s="8" t="n">
        <f aca="false">D6*D16</f>
        <v>736.1082</v>
      </c>
      <c r="E17" s="8" t="n">
        <f aca="false">E6*E16</f>
        <v>749.3581476</v>
      </c>
      <c r="F17" s="8" t="n">
        <f aca="false">F6*F16</f>
        <v>746.7562095875</v>
      </c>
      <c r="G17" s="8" t="n">
        <f aca="false">G6*G16</f>
        <v>769.158895875125</v>
      </c>
      <c r="H17" s="8" t="n">
        <f aca="false">H6*H16</f>
        <v>793.771980543129</v>
      </c>
    </row>
    <row r="19" customFormat="false" ht="15" hidden="false" customHeight="false" outlineLevel="0" collapsed="false">
      <c r="B19" s="3" t="s">
        <v>94</v>
      </c>
      <c r="C19" s="11" t="n">
        <f aca="false">1549/20245</f>
        <v>0.0765127191899234</v>
      </c>
      <c r="D19" s="17" t="n">
        <v>0.07</v>
      </c>
      <c r="E19" s="17" t="n">
        <v>0.065</v>
      </c>
      <c r="F19" s="17" t="n">
        <v>0.06</v>
      </c>
      <c r="G19" s="17" t="n">
        <v>0.057</v>
      </c>
      <c r="H19" s="17" t="n">
        <v>0.055</v>
      </c>
      <c r="J19" s="3" t="s">
        <v>95</v>
      </c>
    </row>
    <row r="20" customFormat="false" ht="15" hidden="false" customHeight="false" outlineLevel="0" collapsed="false">
      <c r="B20" s="5" t="s">
        <v>96</v>
      </c>
      <c r="C20" s="8" t="n">
        <f aca="false">-C6*C19</f>
        <v>-1549</v>
      </c>
      <c r="D20" s="8" t="n">
        <f aca="false">-D6*D19</f>
        <v>-1431.3215</v>
      </c>
      <c r="E20" s="8" t="n">
        <f aca="false">-E6*E19</f>
        <v>-1353.0077665</v>
      </c>
      <c r="F20" s="8" t="n">
        <f aca="false">-F6*F19</f>
        <v>-1280.15350215</v>
      </c>
      <c r="G20" s="8" t="n">
        <f aca="false">-G6*G19</f>
        <v>-1252.63020185378</v>
      </c>
      <c r="H20" s="8" t="n">
        <f aca="false">-H6*H19</f>
        <v>-1247.35596942492</v>
      </c>
    </row>
    <row r="22" customFormat="false" ht="15" hidden="false" customHeight="false" outlineLevel="0" collapsed="false">
      <c r="B22" s="3" t="s">
        <v>97</v>
      </c>
      <c r="C22" s="11" t="n">
        <f aca="false">77/20245</f>
        <v>0.00380340824895036</v>
      </c>
      <c r="D22" s="17" t="n">
        <v>0.005</v>
      </c>
      <c r="E22" s="17" t="n">
        <v>0.005</v>
      </c>
      <c r="F22" s="17" t="n">
        <v>0.005</v>
      </c>
      <c r="G22" s="17" t="n">
        <v>0.004</v>
      </c>
      <c r="H22" s="17" t="n">
        <v>0.004</v>
      </c>
      <c r="J22" s="3" t="s">
        <v>98</v>
      </c>
    </row>
    <row r="23" customFormat="false" ht="15" hidden="false" customHeight="false" outlineLevel="0" collapsed="false">
      <c r="B23" s="5" t="s">
        <v>99</v>
      </c>
      <c r="C23" s="8" t="n">
        <f aca="false">-C6*C22</f>
        <v>-77</v>
      </c>
      <c r="D23" s="8" t="n">
        <f aca="false">-D6*D22</f>
        <v>-102.23725</v>
      </c>
      <c r="E23" s="8" t="n">
        <f aca="false">-E6*E22</f>
        <v>-104.0775205</v>
      </c>
      <c r="F23" s="8" t="n">
        <f aca="false">-F6*F22</f>
        <v>-106.6794585125</v>
      </c>
      <c r="G23" s="8" t="n">
        <f aca="false">-G6*G22</f>
        <v>-87.9038738143</v>
      </c>
      <c r="H23" s="8" t="n">
        <f aca="false">-H6*H22</f>
        <v>-90.7167977763576</v>
      </c>
    </row>
    <row r="25" customFormat="false" ht="15" hidden="false" customHeight="false" outlineLevel="0" collapsed="false">
      <c r="B25" s="15" t="s">
        <v>100</v>
      </c>
      <c r="D25" s="24" t="n">
        <f aca="false">D14+D17+D20+D23</f>
        <v>3542.5207125</v>
      </c>
      <c r="E25" s="24" t="n">
        <f aca="false">E14+E17+E20+E23</f>
        <v>3772.810118125</v>
      </c>
      <c r="F25" s="24" t="n">
        <f aca="false">F14+F17+F20+F23</f>
        <v>4016.48161299562</v>
      </c>
      <c r="G25" s="24" t="n">
        <f aca="false">G14+G17+G20+G23</f>
        <v>4290.80784056052</v>
      </c>
      <c r="H25" s="24" t="n">
        <f aca="false">H14+H17+H20+H23</f>
        <v>4524.50028909584</v>
      </c>
    </row>
    <row r="27" customFormat="false" ht="15" hidden="false" customHeight="false" outlineLevel="0" collapsed="false">
      <c r="B27" s="3" t="s">
        <v>101</v>
      </c>
      <c r="D27" s="25" t="n">
        <v>1</v>
      </c>
      <c r="E27" s="25" t="n">
        <v>2</v>
      </c>
      <c r="F27" s="25" t="n">
        <v>3</v>
      </c>
      <c r="G27" s="25" t="n">
        <v>4</v>
      </c>
      <c r="H27" s="25" t="n">
        <v>5</v>
      </c>
    </row>
    <row r="28" customFormat="false" ht="15" hidden="false" customHeight="false" outlineLevel="0" collapsed="false">
      <c r="B28" s="5" t="s">
        <v>102</v>
      </c>
      <c r="D28" s="26" t="n">
        <f aca="false">1/(1+WACC!C23)^D27</f>
        <v>0.934927760818298</v>
      </c>
      <c r="E28" s="26" t="n">
        <f aca="false">1/(1+WACC!C23)^E27</f>
        <v>0.874089917948717</v>
      </c>
      <c r="F28" s="26" t="n">
        <f aca="false">1/(1+WACC!C23)^F27</f>
        <v>0.817210929741644</v>
      </c>
      <c r="G28" s="26" t="n">
        <f aca="false">1/(1+WACC!C23)^G27</f>
        <v>0.764033184659595</v>
      </c>
      <c r="H28" s="26" t="n">
        <f aca="false">1/(1+WACC!C23)^H27</f>
        <v>0.714315834524669</v>
      </c>
    </row>
    <row r="29" customFormat="false" ht="15" hidden="false" customHeight="false" outlineLevel="0" collapsed="false">
      <c r="B29" s="15" t="s">
        <v>103</v>
      </c>
      <c r="D29" s="27" t="n">
        <f aca="false">D25*D28</f>
        <v>3312.00095739007</v>
      </c>
      <c r="E29" s="27" t="n">
        <f aca="false">E25*E28</f>
        <v>3297.77528658797</v>
      </c>
      <c r="F29" s="27" t="n">
        <f aca="false">F25*F28</f>
        <v>3282.31267324637</v>
      </c>
      <c r="G29" s="27" t="n">
        <f aca="false">G25*G28</f>
        <v>3278.31957918581</v>
      </c>
      <c r="H29" s="27" t="n">
        <f aca="false">H25*H28</f>
        <v>3231.9221998126</v>
      </c>
    </row>
    <row r="31" customFormat="false" ht="15" hidden="false" customHeight="false" outlineLevel="0" collapsed="false">
      <c r="B31" s="4" t="s">
        <v>104</v>
      </c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B32" s="5" t="s">
        <v>105</v>
      </c>
      <c r="C32" s="17" t="n">
        <v>0.02</v>
      </c>
      <c r="J32" s="3" t="s">
        <v>106</v>
      </c>
    </row>
    <row r="33" customFormat="false" ht="15" hidden="false" customHeight="false" outlineLevel="0" collapsed="false">
      <c r="B33" s="5" t="s">
        <v>70</v>
      </c>
      <c r="C33" s="28" t="n">
        <f aca="false">WACC!C23</f>
        <v>0.0696013552156661</v>
      </c>
    </row>
    <row r="34" customFormat="false" ht="15" hidden="false" customHeight="false" outlineLevel="0" collapsed="false">
      <c r="B34" s="15" t="s">
        <v>107</v>
      </c>
      <c r="C34" s="27" t="n">
        <f aca="false">H25*(1+C32)/(C33-C32)</f>
        <v>93041.6170044514</v>
      </c>
    </row>
    <row r="35" customFormat="false" ht="15" hidden="false" customHeight="false" outlineLevel="0" collapsed="false">
      <c r="B35" s="5" t="s">
        <v>108</v>
      </c>
      <c r="C35" s="8" t="n">
        <f aca="false">C34*H28</f>
        <v>66461.1002960594</v>
      </c>
    </row>
    <row r="37" customFormat="false" ht="15" hidden="false" customHeight="false" outlineLevel="0" collapsed="false">
      <c r="B37" s="4" t="s">
        <v>109</v>
      </c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B38" s="5" t="s">
        <v>110</v>
      </c>
      <c r="C38" s="8" t="n">
        <f aca="false">SUM(D29:H29)</f>
        <v>16402.3306962228</v>
      </c>
    </row>
    <row r="39" customFormat="false" ht="15" hidden="false" customHeight="false" outlineLevel="0" collapsed="false">
      <c r="B39" s="5" t="s">
        <v>108</v>
      </c>
      <c r="C39" s="8" t="n">
        <f aca="false">C35</f>
        <v>66461.1002960594</v>
      </c>
    </row>
    <row r="40" customFormat="false" ht="15" hidden="false" customHeight="false" outlineLevel="0" collapsed="false">
      <c r="B40" s="15" t="s">
        <v>111</v>
      </c>
      <c r="C40" s="24" t="n">
        <f aca="false">C38+C39</f>
        <v>82863.4309922822</v>
      </c>
      <c r="E40" s="5" t="s">
        <v>112</v>
      </c>
      <c r="F40" s="29" t="n">
        <f aca="false">C39/C40</f>
        <v>0.802055858660372</v>
      </c>
    </row>
    <row r="41" customFormat="false" ht="15" hidden="false" customHeight="false" outlineLevel="0" collapsed="false">
      <c r="B41" s="5" t="s">
        <v>113</v>
      </c>
      <c r="C41" s="18" t="n">
        <f aca="false">'Cover &amp; Assumptions'!C10</f>
        <v>21854</v>
      </c>
    </row>
    <row r="42" customFormat="false" ht="15" hidden="false" customHeight="false" outlineLevel="0" collapsed="false">
      <c r="B42" s="15" t="s">
        <v>114</v>
      </c>
      <c r="C42" s="30" t="n">
        <f aca="false">C40-C41</f>
        <v>61009.4309922822</v>
      </c>
    </row>
    <row r="43" customFormat="false" ht="15" hidden="false" customHeight="false" outlineLevel="0" collapsed="false">
      <c r="B43" s="5" t="s">
        <v>6</v>
      </c>
      <c r="C43" s="31" t="n">
        <f aca="false">'Cover &amp; Assumptions'!C8</f>
        <v>555.9</v>
      </c>
    </row>
    <row r="44" customFormat="false" ht="15" hidden="false" customHeight="false" outlineLevel="0" collapsed="false">
      <c r="B44" s="15" t="s">
        <v>115</v>
      </c>
      <c r="C44" s="32" t="n">
        <f aca="false">C42/C43</f>
        <v>109.74893144861</v>
      </c>
    </row>
    <row r="45" customFormat="false" ht="15" hidden="false" customHeight="false" outlineLevel="0" collapsed="false">
      <c r="B45" s="5" t="s">
        <v>116</v>
      </c>
      <c r="C45" s="33" t="n">
        <f aca="false">'Cover &amp; Assumptions'!C7</f>
        <v>86.41</v>
      </c>
    </row>
    <row r="46" customFormat="false" ht="15" hidden="false" customHeight="false" outlineLevel="0" collapsed="false">
      <c r="B46" s="15" t="s">
        <v>117</v>
      </c>
      <c r="C46" s="34" t="n">
        <f aca="false">C44/C45-1</f>
        <v>0.270095260370441</v>
      </c>
    </row>
    <row r="48" customFormat="false" ht="15" hidden="false" customHeight="false" outlineLevel="0" collapsed="false">
      <c r="B48" s="4" t="s">
        <v>118</v>
      </c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B49" s="5" t="s">
        <v>119</v>
      </c>
      <c r="C49" s="35" t="n">
        <v>11</v>
      </c>
      <c r="J49" s="3" t="s">
        <v>120</v>
      </c>
    </row>
    <row r="50" customFormat="false" ht="15" hidden="false" customHeight="false" outlineLevel="0" collapsed="false">
      <c r="B50" s="5" t="s">
        <v>121</v>
      </c>
      <c r="C50" s="8" t="n">
        <f aca="false">H10+H17</f>
        <v>7552.17341488177</v>
      </c>
    </row>
    <row r="51" customFormat="false" ht="15" hidden="false" customHeight="false" outlineLevel="0" collapsed="false">
      <c r="B51" s="5" t="s">
        <v>122</v>
      </c>
      <c r="C51" s="8" t="n">
        <f aca="false">C49*C50</f>
        <v>83073.9075636995</v>
      </c>
    </row>
    <row r="52" customFormat="false" ht="15" hidden="false" customHeight="false" outlineLevel="0" collapsed="false">
      <c r="B52" s="5" t="s">
        <v>123</v>
      </c>
      <c r="C52" s="8" t="n">
        <f aca="false">C51*H28</f>
        <v>59341.0076085892</v>
      </c>
    </row>
    <row r="53" customFormat="false" ht="15" hidden="false" customHeight="false" outlineLevel="0" collapsed="false">
      <c r="B53" s="15" t="s">
        <v>124</v>
      </c>
      <c r="C53" s="30" t="n">
        <f aca="false">C38+C52</f>
        <v>75743.338304812</v>
      </c>
    </row>
    <row r="54" customFormat="false" ht="15" hidden="false" customHeight="false" outlineLevel="0" collapsed="false">
      <c r="B54" s="15" t="s">
        <v>125</v>
      </c>
      <c r="C54" s="36" t="n">
        <f aca="false">(C53-C41)/C43</f>
        <v>96.9407057111208</v>
      </c>
    </row>
    <row r="56" customFormat="false" ht="15" hidden="false" customHeight="false" outlineLevel="0" collapsed="false">
      <c r="B56" s="4" t="s">
        <v>126</v>
      </c>
      <c r="C56" s="4"/>
      <c r="D56" s="4"/>
      <c r="E56" s="4"/>
      <c r="F56" s="4"/>
      <c r="G56" s="4"/>
      <c r="H56" s="4"/>
    </row>
    <row r="57" customFormat="false" ht="15" hidden="false" customHeight="false" outlineLevel="0" collapsed="false">
      <c r="B57" s="3" t="s">
        <v>127</v>
      </c>
    </row>
    <row r="58" customFormat="false" ht="15" hidden="false" customHeight="false" outlineLevel="0" collapsed="false">
      <c r="B58" s="37" t="s">
        <v>128</v>
      </c>
      <c r="C58" s="38" t="n">
        <f aca="false">WACC!C23-0.01</f>
        <v>0.0596013552156661</v>
      </c>
      <c r="D58" s="38" t="n">
        <f aca="false">WACC!C23-0.005</f>
        <v>0.0646013552156661</v>
      </c>
      <c r="E58" s="38" t="n">
        <f aca="false">WACC!C23</f>
        <v>0.0696013552156661</v>
      </c>
      <c r="F58" s="38" t="n">
        <f aca="false">WACC!C23+0.005</f>
        <v>0.0746013552156661</v>
      </c>
      <c r="G58" s="38" t="n">
        <f aca="false">WACC!C23+0.01</f>
        <v>0.0796013552156661</v>
      </c>
    </row>
    <row r="59" customFormat="false" ht="15" hidden="false" customHeight="false" outlineLevel="0" collapsed="false">
      <c r="B59" s="39" t="n">
        <f aca="false">C32-0.01</f>
        <v>0.01</v>
      </c>
      <c r="C59" s="40" t="n">
        <f aca="false">((D$25/(1+C$58)^1+E$25/(1+C$58)^2+F$25/(1+C$58)^3+G$25/(1+C$58)^4+H$25/(1+C$58)^5+(H$25*(1+$B59)/(C$58-$B59))/(1+C$58)^5)-$C$41)/$C$43</f>
        <v>115.112342239071</v>
      </c>
      <c r="D59" s="40" t="n">
        <f aca="false">((D$25/(1+D$58)^1+E$25/(1+D$58)^2+F$25/(1+D$58)^3+G$25/(1+D$58)^4+H$25/(1+D$58)^5+(H$25*(1+$B59)/(D$58-$B59))/(1+D$58)^5)-$C$41)/$C$43</f>
        <v>100.702152826126</v>
      </c>
      <c r="E59" s="40" t="n">
        <f aca="false">((D$25/(1+E$58)^1+E$25/(1+E$58)^2+F$25/(1+E$58)^3+G$25/(1+E$58)^4+H$25/(1+E$58)^5+(H$25*(1+$B59)/(E$58-$B59))/(1+E$58)^5)-$C$41)/$C$43</f>
        <v>88.7142232917342</v>
      </c>
      <c r="F59" s="40" t="n">
        <f aca="false">((D$25/(1+F$58)^1+E$25/(1+F$58)^2+F$25/(1+F$58)^3+G$25/(1+F$58)^4+H$25/(1+F$58)^5+(H$25*(1+$B59)/(F$58-$B59))/(1+F$58)^5)-$C$41)/$C$43</f>
        <v>78.5860219071486</v>
      </c>
      <c r="G59" s="40" t="n">
        <f aca="false">((D$25/(1+G$58)^1+E$25/(1+G$58)^2+F$25/(1+G$58)^3+G$25/(1+G$58)^4+H$25/(1+G$58)^5+(H$25*(1+$B59)/(G$58-$B59))/(1+G$58)^5)-$C$41)/$C$43</f>
        <v>69.9166635272291</v>
      </c>
    </row>
    <row r="60" customFormat="false" ht="15" hidden="false" customHeight="false" outlineLevel="0" collapsed="false">
      <c r="B60" s="39" t="n">
        <f aca="false">C32-0.005</f>
        <v>0.015</v>
      </c>
      <c r="C60" s="40" t="n">
        <f aca="false">((D$25/(1+C$58)^1+E$25/(1+C$58)^2+F$25/(1+C$58)^3+G$25/(1+C$58)^4+H$25/(1+C$58)^5+(H$25*(1+$B60)/(C$58-$B60))/(1+C$58)^5)-$C$41)/$C$43</f>
        <v>129.704930635102</v>
      </c>
      <c r="D60" s="40" t="n">
        <f aca="false">((D$25/(1+D$58)^1+E$25/(1+D$58)^2+F$25/(1+D$58)^3+G$25/(1+D$58)^4+H$25/(1+D$58)^5+(H$25*(1+$B60)/(D$58-$B60))/(1+D$58)^5)-$C$41)/$C$43</f>
        <v>112.399811023501</v>
      </c>
      <c r="E60" s="40" t="n">
        <f aca="false">((D$25/(1+E$58)^1+E$25/(1+E$58)^2+F$25/(1+E$58)^3+G$25/(1+E$58)^4+H$25/(1+E$58)^5+(H$25*(1+$B60)/(E$58-$B60))/(1+E$58)^5)-$C$41)/$C$43</f>
        <v>98.2684736123169</v>
      </c>
      <c r="F60" s="40" t="n">
        <f aca="false">((D$25/(1+F$58)^1+E$25/(1+F$58)^2+F$25/(1+F$58)^3+G$25/(1+F$58)^4+H$25/(1+F$58)^5+(H$25*(1+$B60)/(F$58-$B60))/(1+F$58)^5)-$C$41)/$C$43</f>
        <v>86.5120690520752</v>
      </c>
      <c r="G60" s="40" t="n">
        <f aca="false">((D$25/(1+G$58)^1+E$25/(1+G$58)^2+F$25/(1+G$58)^3+G$25/(1+G$58)^4+H$25/(1+G$58)^5+(H$25*(1+$B60)/(G$58-$B60))/(1+G$58)^5)-$C$41)/$C$43</f>
        <v>76.5790671818567</v>
      </c>
    </row>
    <row r="61" customFormat="false" ht="15" hidden="false" customHeight="false" outlineLevel="0" collapsed="false">
      <c r="B61" s="39" t="n">
        <f aca="false">C32</f>
        <v>0.02</v>
      </c>
      <c r="C61" s="40" t="n">
        <f aca="false">((D$25/(1+C$58)^1+E$25/(1+C$58)^2+F$25/(1+C$58)^3+G$25/(1+C$58)^4+H$25/(1+C$58)^5+(H$25*(1+$B61)/(C$58-$B61))/(1+C$58)^5)-$C$41)/$C$43</f>
        <v>147.982389994907</v>
      </c>
      <c r="D61" s="40" t="n">
        <f aca="false">((D$25/(1+D$58)^1+E$25/(1+D$58)^2+F$25/(1+D$58)^3+G$25/(1+D$58)^4+H$25/(1+D$58)^5+(H$25*(1+$B61)/(D$58-$B61))/(1+D$58)^5)-$C$41)/$C$43</f>
        <v>126.720182844894</v>
      </c>
      <c r="E61" s="41" t="n">
        <f aca="false">((D$25/(1+E$58)^1+E$25/(1+E$58)^2+F$25/(1+E$58)^3+G$25/(1+E$58)^4+H$25/(1+E$58)^5+(H$25*(1+$B61)/(E$58-$B61))/(1+E$58)^5)-$C$41)/$C$43</f>
        <v>109.74893144861</v>
      </c>
      <c r="F61" s="40" t="n">
        <f aca="false">((D$25/(1+F$58)^1+E$25/(1+F$58)^2+F$25/(1+F$58)^3+G$25/(1+F$58)^4+H$25/(1+F$58)^5+(H$25*(1+$B61)/(F$58-$B61))/(1+F$58)^5)-$C$41)/$C$43</f>
        <v>95.8897371528591</v>
      </c>
      <c r="G61" s="40" t="n">
        <f aca="false">((D$25/(1+G$58)^1+E$25/(1+G$58)^2+F$25/(1+G$58)^3+G$25/(1+G$58)^4+H$25/(1+G$58)^5+(H$25*(1+$B61)/(G$58-$B61))/(1+G$58)^5)-$C$41)/$C$43</f>
        <v>84.3592983809285</v>
      </c>
    </row>
    <row r="62" customFormat="false" ht="15" hidden="false" customHeight="false" outlineLevel="0" collapsed="false">
      <c r="B62" s="39" t="n">
        <f aca="false">C32+0.005</f>
        <v>0.025</v>
      </c>
      <c r="C62" s="40" t="n">
        <f aca="false">((D$25/(1+C$58)^1+E$25/(1+C$58)^2+F$25/(1+C$58)^3+G$25/(1+C$58)^4+H$25/(1+C$58)^5+(H$25*(1+$B62)/(C$58-$B62))/(1+C$58)^5)-$C$41)/$C$43</f>
        <v>171.542145162457</v>
      </c>
      <c r="D62" s="40" t="n">
        <f aca="false">((D$25/(1+D$58)^1+E$25/(1+D$58)^2+F$25/(1+D$58)^3+G$25/(1+D$58)^4+H$25/(1+D$58)^5+(H$25*(1+$B62)/(D$58-$B62))/(1+D$58)^5)-$C$41)/$C$43</f>
        <v>144.656686423245</v>
      </c>
      <c r="E62" s="40" t="n">
        <f aca="false">((D$25/(1+E$58)^1+E$25/(1+E$58)^2+F$25/(1+E$58)^3+G$25/(1+E$58)^4+H$25/(1+E$58)^5+(H$25*(1+$B62)/(E$58-$B62))/(1+E$58)^5)-$C$41)/$C$43</f>
        <v>123.803404756132</v>
      </c>
      <c r="F62" s="40" t="n">
        <f aca="false">((D$25/(1+F$58)^1+E$25/(1+F$58)^2+F$25/(1+F$58)^3+G$25/(1+F$58)^4+H$25/(1+F$58)^5+(H$25*(1+$B62)/(F$58-$B62))/(1+F$58)^5)-$C$41)/$C$43</f>
        <v>107.158012488064</v>
      </c>
      <c r="G62" s="40" t="n">
        <f aca="false">((D$25/(1+G$58)^1+E$25/(1+G$58)^2+F$25/(1+G$58)^3+G$25/(1+G$58)^4+H$25/(1+G$58)^5+(H$25*(1+$B62)/(G$58-$B62))/(1+G$58)^5)-$C$41)/$C$43</f>
        <v>93.5644449815212</v>
      </c>
    </row>
    <row r="63" customFormat="false" ht="15" hidden="false" customHeight="false" outlineLevel="0" collapsed="false">
      <c r="B63" s="39" t="n">
        <f aca="false">C32+0.01</f>
        <v>0.03</v>
      </c>
      <c r="C63" s="40" t="n">
        <f aca="false">((D$25/(1+C$58)^1+E$25/(1+C$58)^2+F$25/(1+C$58)^3+G$25/(1+C$58)^4+H$25/(1+C$58)^5+(H$25*(1+$B63)/(C$58-$B63))/(1+C$58)^5)-$C$41)/$C$43</f>
        <v>203.060912677889</v>
      </c>
      <c r="D63" s="40" t="n">
        <f aca="false">((D$25/(1+D$58)^1+E$25/(1+D$58)^2+F$25/(1+D$58)^3+G$25/(1+D$58)^4+H$25/(1+D$58)^5+(H$25*(1+$B63)/(D$58-$B63))/(1+D$58)^5)-$C$41)/$C$43</f>
        <v>167.776947535529</v>
      </c>
      <c r="E63" s="40" t="n">
        <f aca="false">((D$25/(1+E$58)^1+E$25/(1+E$58)^2+F$25/(1+E$58)^3+G$25/(1+E$58)^4+H$25/(1+E$58)^5+(H$25*(1+$B63)/(E$58-$B63))/(1+E$58)^5)-$C$41)/$C$43</f>
        <v>141.406866029087</v>
      </c>
      <c r="F63" s="40" t="n">
        <f aca="false">((D$25/(1+F$58)^1+E$25/(1+F$58)^2+F$25/(1+F$58)^3+G$25/(1+F$58)^4+H$25/(1+F$58)^5+(H$25*(1+$B63)/(F$58-$B63))/(1+F$58)^5)-$C$41)/$C$43</f>
        <v>120.952730188242</v>
      </c>
      <c r="G63" s="40" t="n">
        <f aca="false">((D$25/(1+G$58)^1+E$25/(1+G$58)^2+F$25/(1+G$58)^3+G$25/(1+G$58)^4+H$25/(1+G$58)^5+(H$25*(1+$B63)/(G$58-$B63))/(1+G$58)^5)-$C$41)/$C$43</f>
        <v>104.625417206347</v>
      </c>
    </row>
    <row r="66" customFormat="false" ht="15" hidden="false" customHeight="false" outlineLevel="0" collapsed="false">
      <c r="B66" s="12" t="s">
        <v>129</v>
      </c>
      <c r="C66" s="12"/>
      <c r="D66" s="12"/>
      <c r="E66" s="12"/>
      <c r="F66" s="12"/>
      <c r="G66" s="12"/>
      <c r="H66" s="12"/>
    </row>
  </sheetData>
  <mergeCells count="5">
    <mergeCell ref="B31:H31"/>
    <mergeCell ref="B37:H37"/>
    <mergeCell ref="B48:H48"/>
    <mergeCell ref="B56:H56"/>
    <mergeCell ref="B66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8" min="5" style="0" width="13"/>
    <col collapsed="false" customWidth="true" hidden="false" outlineLevel="0" max="9" min="9" style="0" width="50"/>
  </cols>
  <sheetData>
    <row r="2" customFormat="false" ht="17.35" hidden="false" customHeight="false" outlineLevel="0" collapsed="false">
      <c r="B2" s="1" t="s">
        <v>130</v>
      </c>
    </row>
    <row r="3" customFormat="false" ht="15" hidden="false" customHeight="false" outlineLevel="0" collapsed="false">
      <c r="B3" s="3" t="s">
        <v>131</v>
      </c>
    </row>
    <row r="5" customFormat="false" ht="19.5" hidden="false" customHeight="true" outlineLevel="0" collapsed="false">
      <c r="B5" s="21" t="s">
        <v>132</v>
      </c>
      <c r="C5" s="21" t="s">
        <v>133</v>
      </c>
      <c r="D5" s="21" t="s">
        <v>134</v>
      </c>
      <c r="E5" s="21" t="s">
        <v>135</v>
      </c>
      <c r="F5" s="21" t="s">
        <v>136</v>
      </c>
      <c r="G5" s="21" t="s">
        <v>137</v>
      </c>
    </row>
    <row r="6" customFormat="false" ht="15" hidden="false" customHeight="false" outlineLevel="0" collapsed="false">
      <c r="B6" s="5" t="s">
        <v>138</v>
      </c>
      <c r="C6" s="5" t="s">
        <v>139</v>
      </c>
      <c r="D6" s="42" t="n">
        <v>2237</v>
      </c>
      <c r="E6" s="35" t="n">
        <v>13.8</v>
      </c>
      <c r="F6" s="17" t="n">
        <v>0.226</v>
      </c>
      <c r="G6" s="17" t="n">
        <v>0.012</v>
      </c>
    </row>
    <row r="7" customFormat="false" ht="15" hidden="false" customHeight="false" outlineLevel="0" collapsed="false">
      <c r="B7" s="5" t="s">
        <v>140</v>
      </c>
      <c r="C7" s="5" t="s">
        <v>141</v>
      </c>
      <c r="D7" s="42" t="n">
        <v>31714</v>
      </c>
      <c r="E7" s="35" t="n">
        <v>11.2</v>
      </c>
      <c r="F7" s="17" t="n">
        <v>0.368</v>
      </c>
      <c r="G7" s="17" t="n">
        <v>-0.03</v>
      </c>
    </row>
    <row r="8" customFormat="false" ht="15" hidden="false" customHeight="false" outlineLevel="0" collapsed="false">
      <c r="B8" s="5" t="s">
        <v>142</v>
      </c>
      <c r="C8" s="5" t="s">
        <v>143</v>
      </c>
      <c r="D8" s="42" t="n">
        <v>6649</v>
      </c>
      <c r="E8" s="35" t="n">
        <v>10.9</v>
      </c>
      <c r="F8" s="17" t="n">
        <v>0.25</v>
      </c>
      <c r="G8" s="17" t="n">
        <v>0.032</v>
      </c>
    </row>
    <row r="9" customFormat="false" ht="15" hidden="false" customHeight="false" outlineLevel="0" collapsed="false">
      <c r="B9" s="5" t="s">
        <v>144</v>
      </c>
      <c r="C9" s="5" t="s">
        <v>139</v>
      </c>
      <c r="D9" s="42" t="n">
        <v>15629</v>
      </c>
      <c r="E9" s="35" t="n">
        <v>9</v>
      </c>
      <c r="F9" s="17" t="n">
        <v>0.301</v>
      </c>
      <c r="G9" s="17" t="n">
        <v>-0.035</v>
      </c>
    </row>
    <row r="10" customFormat="false" ht="15" hidden="false" customHeight="false" outlineLevel="0" collapsed="false">
      <c r="B10" s="3" t="s">
        <v>145</v>
      </c>
      <c r="D10" s="42" t="n">
        <v>55656</v>
      </c>
      <c r="E10" s="35" t="n">
        <v>10.1</v>
      </c>
      <c r="F10" s="17" t="n">
        <v>0.325</v>
      </c>
      <c r="G10" s="17" t="n">
        <v>-0.004</v>
      </c>
    </row>
    <row r="12" customFormat="false" ht="15" hidden="false" customHeight="false" outlineLevel="0" collapsed="false">
      <c r="B12" s="4" t="s">
        <v>146</v>
      </c>
      <c r="C12" s="4"/>
      <c r="D12" s="4"/>
      <c r="E12" s="4"/>
      <c r="F12" s="4"/>
    </row>
    <row r="13" customFormat="false" ht="15" hidden="false" customHeight="false" outlineLevel="0" collapsed="false">
      <c r="B13" s="5" t="s">
        <v>147</v>
      </c>
      <c r="E13" s="43" t="n">
        <f aca="false">AVERAGE(E6:E9)</f>
        <v>11.225</v>
      </c>
    </row>
    <row r="14" customFormat="false" ht="15" hidden="false" customHeight="false" outlineLevel="0" collapsed="false">
      <c r="B14" s="15" t="s">
        <v>148</v>
      </c>
      <c r="E14" s="44" t="n">
        <f aca="false">MEDIAN(E6:E9)</f>
        <v>11.05</v>
      </c>
    </row>
    <row r="15" customFormat="false" ht="15" hidden="false" customHeight="false" outlineLevel="0" collapsed="false">
      <c r="B15" s="5" t="s">
        <v>149</v>
      </c>
      <c r="E15" s="43" t="n">
        <f aca="false">MIN(E6:E9)</f>
        <v>9</v>
      </c>
    </row>
    <row r="16" customFormat="false" ht="15" hidden="false" customHeight="false" outlineLevel="0" collapsed="false">
      <c r="B16" s="5" t="s">
        <v>150</v>
      </c>
      <c r="E16" s="43" t="n">
        <f aca="false">MAX(E6:E9)</f>
        <v>13.8</v>
      </c>
    </row>
    <row r="18" customFormat="false" ht="15" hidden="false" customHeight="false" outlineLevel="0" collapsed="false">
      <c r="B18" s="4" t="s">
        <v>151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B19" s="5" t="s">
        <v>152</v>
      </c>
      <c r="D19" s="9" t="n">
        <v>6452</v>
      </c>
      <c r="I19" s="3" t="s">
        <v>153</v>
      </c>
    </row>
    <row r="21" customFormat="false" ht="19.5" hidden="false" customHeight="true" outlineLevel="0" collapsed="false">
      <c r="B21" s="21" t="s">
        <v>154</v>
      </c>
      <c r="C21" s="21" t="s">
        <v>155</v>
      </c>
      <c r="D21" s="21" t="s">
        <v>156</v>
      </c>
      <c r="E21" s="21" t="s">
        <v>157</v>
      </c>
    </row>
    <row r="22" customFormat="false" ht="15" hidden="false" customHeight="false" outlineLevel="0" collapsed="false">
      <c r="B22" s="5" t="s">
        <v>158</v>
      </c>
      <c r="C22" s="45" t="n">
        <f aca="false">E15</f>
        <v>9</v>
      </c>
      <c r="D22" s="8" t="n">
        <f aca="false">C22*D19</f>
        <v>58068</v>
      </c>
      <c r="E22" s="40" t="n">
        <f aca="false">(D22-'Cover &amp; Assumptions'!$C$10)/'Cover &amp; Assumptions'!$C$8</f>
        <v>65.1448102176651</v>
      </c>
    </row>
    <row r="23" customFormat="false" ht="15" hidden="false" customHeight="false" outlineLevel="0" collapsed="false">
      <c r="B23" s="5" t="s">
        <v>159</v>
      </c>
      <c r="C23" s="45" t="n">
        <f aca="false">E14</f>
        <v>11.05</v>
      </c>
      <c r="D23" s="8" t="n">
        <f aca="false">C23*D19</f>
        <v>71294.6</v>
      </c>
      <c r="E23" s="40" t="n">
        <f aca="false">(D23-'Cover &amp; Assumptions'!$C$10)/'Cover &amp; Assumptions'!$C$8</f>
        <v>88.9379384781436</v>
      </c>
    </row>
    <row r="24" customFormat="false" ht="15" hidden="false" customHeight="false" outlineLevel="0" collapsed="false">
      <c r="B24" s="5" t="s">
        <v>160</v>
      </c>
      <c r="C24" s="45" t="n">
        <f aca="false">E13</f>
        <v>11.225</v>
      </c>
      <c r="D24" s="8" t="n">
        <f aca="false">C24*D19</f>
        <v>72423.7</v>
      </c>
      <c r="E24" s="40" t="n">
        <f aca="false">(D24-'Cover &amp; Assumptions'!$C$10)/'Cover &amp; Assumptions'!$C$8</f>
        <v>90.9690591833063</v>
      </c>
    </row>
    <row r="25" customFormat="false" ht="15" hidden="false" customHeight="false" outlineLevel="0" collapsed="false">
      <c r="B25" s="5" t="s">
        <v>161</v>
      </c>
      <c r="C25" s="45" t="n">
        <f aca="false">E16</f>
        <v>13.8</v>
      </c>
      <c r="D25" s="8" t="n">
        <f aca="false">C25*D19</f>
        <v>89037.6</v>
      </c>
      <c r="E25" s="40" t="n">
        <f aca="false">(D25-'Cover &amp; Assumptions'!$C$10)/'Cover &amp; Assumptions'!$C$8</f>
        <v>120.855549559273</v>
      </c>
    </row>
    <row r="27" customFormat="false" ht="15" hidden="false" customHeight="false" outlineLevel="0" collapsed="false">
      <c r="B27" s="12" t="s">
        <v>162</v>
      </c>
      <c r="C27" s="12"/>
      <c r="D27" s="12"/>
      <c r="E27" s="12"/>
      <c r="F27" s="12"/>
      <c r="G27" s="12"/>
      <c r="H27" s="12"/>
    </row>
  </sheetData>
  <mergeCells count="3">
    <mergeCell ref="B12:F12"/>
    <mergeCell ref="B18:H18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4" min="3" style="0" width="2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0"/>
  </cols>
  <sheetData>
    <row r="2" customFormat="false" ht="17.35" hidden="false" customHeight="false" outlineLevel="0" collapsed="false">
      <c r="B2" s="1" t="s">
        <v>163</v>
      </c>
    </row>
    <row r="3" customFormat="false" ht="15" hidden="false" customHeight="false" outlineLevel="0" collapsed="false">
      <c r="B3" s="3" t="s">
        <v>164</v>
      </c>
    </row>
    <row r="5" customFormat="false" ht="19.5" hidden="false" customHeight="true" outlineLevel="0" collapsed="false">
      <c r="B5" s="21" t="s">
        <v>165</v>
      </c>
      <c r="C5" s="21" t="s">
        <v>166</v>
      </c>
      <c r="D5" s="21" t="s">
        <v>167</v>
      </c>
      <c r="E5" s="21" t="s">
        <v>168</v>
      </c>
      <c r="F5" s="21" t="s">
        <v>169</v>
      </c>
      <c r="G5" s="21" t="s">
        <v>170</v>
      </c>
      <c r="H5" s="21" t="s">
        <v>171</v>
      </c>
    </row>
    <row r="6" customFormat="false" ht="15" hidden="false" customHeight="false" outlineLevel="0" collapsed="false">
      <c r="B6" s="5" t="s">
        <v>172</v>
      </c>
      <c r="C6" s="5" t="s">
        <v>173</v>
      </c>
      <c r="D6" s="5" t="s">
        <v>174</v>
      </c>
      <c r="E6" s="5" t="s">
        <v>175</v>
      </c>
      <c r="F6" s="9" t="n">
        <v>16000</v>
      </c>
      <c r="G6" s="35" t="n">
        <v>20</v>
      </c>
      <c r="H6" s="3" t="s">
        <v>176</v>
      </c>
    </row>
    <row r="7" customFormat="false" ht="15" hidden="false" customHeight="false" outlineLevel="0" collapsed="false">
      <c r="B7" s="5" t="s">
        <v>177</v>
      </c>
      <c r="C7" s="5" t="s">
        <v>178</v>
      </c>
      <c r="D7" s="5" t="s">
        <v>179</v>
      </c>
      <c r="E7" s="5" t="s">
        <v>180</v>
      </c>
      <c r="F7" s="9" t="n">
        <v>3807</v>
      </c>
      <c r="G7" s="35" t="n">
        <v>15.3</v>
      </c>
      <c r="H7" s="3" t="s">
        <v>181</v>
      </c>
    </row>
    <row r="8" customFormat="false" ht="15" hidden="false" customHeight="false" outlineLevel="0" collapsed="false">
      <c r="B8" s="5" t="s">
        <v>182</v>
      </c>
      <c r="C8" s="5" t="s">
        <v>183</v>
      </c>
      <c r="D8" s="5" t="s">
        <v>184</v>
      </c>
      <c r="E8" s="5" t="s">
        <v>185</v>
      </c>
      <c r="F8" s="9" t="n">
        <v>108</v>
      </c>
      <c r="G8" s="35" t="n">
        <v>8.3</v>
      </c>
      <c r="H8" s="3" t="s">
        <v>186</v>
      </c>
    </row>
    <row r="9" customFormat="false" ht="15" hidden="false" customHeight="false" outlineLevel="0" collapsed="false">
      <c r="B9" s="5" t="s">
        <v>187</v>
      </c>
      <c r="C9" s="5" t="s">
        <v>188</v>
      </c>
      <c r="D9" s="5" t="s">
        <v>179</v>
      </c>
      <c r="E9" s="5" t="s">
        <v>189</v>
      </c>
      <c r="F9" s="3" t="s">
        <v>190</v>
      </c>
      <c r="G9" s="35" t="n">
        <v>23.6</v>
      </c>
      <c r="H9" s="3" t="s">
        <v>191</v>
      </c>
    </row>
    <row r="11" customFormat="false" ht="15" hidden="false" customHeight="false" outlineLevel="0" collapsed="false">
      <c r="B11" s="12" t="s">
        <v>192</v>
      </c>
      <c r="C11" s="12"/>
      <c r="D11" s="12"/>
      <c r="E11" s="12"/>
      <c r="F11" s="12"/>
      <c r="G11" s="12"/>
      <c r="H11" s="12"/>
    </row>
    <row r="13" customFormat="false" ht="15" hidden="false" customHeight="false" outlineLevel="0" collapsed="false">
      <c r="B13" s="4" t="s">
        <v>193</v>
      </c>
      <c r="C13" s="4"/>
      <c r="D13" s="4"/>
      <c r="E13" s="4"/>
      <c r="F13" s="4"/>
    </row>
    <row r="14" customFormat="false" ht="15" hidden="false" customHeight="false" outlineLevel="0" collapsed="false">
      <c r="B14" s="12" t="s">
        <v>194</v>
      </c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B15" s="5" t="s">
        <v>195</v>
      </c>
      <c r="F15" s="43" t="n">
        <f aca="false">AVERAGE(G6,G7,G8)</f>
        <v>14.5333333333333</v>
      </c>
    </row>
    <row r="16" customFormat="false" ht="15" hidden="false" customHeight="false" outlineLevel="0" collapsed="false">
      <c r="B16" s="15" t="s">
        <v>196</v>
      </c>
      <c r="F16" s="44" t="n">
        <f aca="false">MEDIAN(G6,G7,G8)</f>
        <v>15.3</v>
      </c>
    </row>
    <row r="17" customFormat="false" ht="15" hidden="false" customHeight="false" outlineLevel="0" collapsed="false">
      <c r="B17" s="5" t="s">
        <v>197</v>
      </c>
      <c r="F17" s="43" t="n">
        <f aca="false">MIN(G6,G7,G8)</f>
        <v>8.3</v>
      </c>
    </row>
    <row r="18" customFormat="false" ht="15" hidden="false" customHeight="false" outlineLevel="0" collapsed="false">
      <c r="B18" s="5" t="s">
        <v>198</v>
      </c>
      <c r="F18" s="43" t="n">
        <f aca="false">MAX(G6,G7,G8)</f>
        <v>20</v>
      </c>
    </row>
    <row r="20" customFormat="false" ht="15" hidden="false" customHeight="false" outlineLevel="0" collapsed="false">
      <c r="B20" s="12" t="s">
        <v>199</v>
      </c>
      <c r="C20" s="12"/>
      <c r="D20" s="12"/>
      <c r="E20" s="12"/>
      <c r="F20" s="12"/>
      <c r="G20" s="12"/>
      <c r="H20" s="12"/>
    </row>
    <row r="23" customFormat="false" ht="15" hidden="false" customHeight="false" outlineLevel="0" collapsed="false">
      <c r="B23" s="4" t="s">
        <v>200</v>
      </c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B24" s="5" t="s">
        <v>201</v>
      </c>
      <c r="F24" s="9" t="n">
        <v>6452</v>
      </c>
    </row>
    <row r="26" customFormat="false" ht="19.5" hidden="false" customHeight="true" outlineLevel="0" collapsed="false">
      <c r="B26" s="21" t="s">
        <v>154</v>
      </c>
      <c r="C26" s="21" t="s">
        <v>155</v>
      </c>
      <c r="D26" s="21" t="s">
        <v>156</v>
      </c>
      <c r="E26" s="21" t="s">
        <v>157</v>
      </c>
    </row>
    <row r="27" customFormat="false" ht="15" hidden="false" customHeight="false" outlineLevel="0" collapsed="false">
      <c r="B27" s="5" t="s">
        <v>149</v>
      </c>
      <c r="C27" s="45" t="n">
        <f aca="false">F17</f>
        <v>8.3</v>
      </c>
      <c r="D27" s="8" t="n">
        <f aca="false">C27*F24</f>
        <v>53551.6</v>
      </c>
      <c r="E27" s="40" t="n">
        <f aca="false">(D27-'Cover &amp; Assumptions'!$C$10)/'Cover &amp; Assumptions'!$C$8</f>
        <v>57.0203273970139</v>
      </c>
    </row>
    <row r="28" customFormat="false" ht="15" hidden="false" customHeight="false" outlineLevel="0" collapsed="false">
      <c r="B28" s="5" t="s">
        <v>202</v>
      </c>
      <c r="C28" s="45" t="n">
        <f aca="false">F16</f>
        <v>15.3</v>
      </c>
      <c r="D28" s="8" t="n">
        <f aca="false">C28*F24</f>
        <v>98715.6</v>
      </c>
      <c r="E28" s="40" t="n">
        <f aca="false">(D28-'Cover &amp; Assumptions'!$C$10)/'Cover &amp; Assumptions'!$C$8</f>
        <v>138.265155603526</v>
      </c>
    </row>
    <row r="29" customFormat="false" ht="15" hidden="false" customHeight="false" outlineLevel="0" collapsed="false">
      <c r="B29" s="5" t="s">
        <v>150</v>
      </c>
      <c r="C29" s="45" t="n">
        <f aca="false">F18</f>
        <v>20</v>
      </c>
      <c r="D29" s="8" t="n">
        <f aca="false">C29*F24</f>
        <v>129040</v>
      </c>
      <c r="E29" s="40" t="n">
        <f aca="false">(D29-'Cover &amp; Assumptions'!$C$10)/'Cover &amp; Assumptions'!$C$8</f>
        <v>192.815254542184</v>
      </c>
    </row>
  </sheetData>
  <mergeCells count="5">
    <mergeCell ref="B11:H11"/>
    <mergeCell ref="B13:F13"/>
    <mergeCell ref="B14:H14"/>
    <mergeCell ref="B20:H20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20"/>
  </cols>
  <sheetData>
    <row r="2" customFormat="false" ht="17.35" hidden="false" customHeight="false" outlineLevel="0" collapsed="false">
      <c r="B2" s="1" t="s">
        <v>203</v>
      </c>
    </row>
    <row r="3" customFormat="false" ht="15" hidden="false" customHeight="false" outlineLevel="0" collapsed="false">
      <c r="B3" s="3" t="s">
        <v>204</v>
      </c>
    </row>
    <row r="5" customFormat="false" ht="19.5" hidden="false" customHeight="true" outlineLevel="0" collapsed="false">
      <c r="B5" s="21" t="s">
        <v>205</v>
      </c>
      <c r="C5" s="21" t="s">
        <v>149</v>
      </c>
      <c r="D5" s="21" t="s">
        <v>150</v>
      </c>
      <c r="E5" s="21" t="s">
        <v>206</v>
      </c>
    </row>
    <row r="6" customFormat="false" ht="15" hidden="false" customHeight="false" outlineLevel="0" collapsed="false">
      <c r="B6" s="5" t="s">
        <v>207</v>
      </c>
      <c r="C6" s="33" t="n">
        <f aca="false">MIN('DCF Model'!C59:G63)</f>
        <v>69.9166635272291</v>
      </c>
      <c r="D6" s="33" t="n">
        <f aca="false">MAX('DCF Model'!C59:G63)</f>
        <v>203.060912677889</v>
      </c>
      <c r="E6" s="33" t="n">
        <f aca="false">'DCF Model'!C44</f>
        <v>109.74893144861</v>
      </c>
    </row>
    <row r="7" customFormat="false" ht="15" hidden="false" customHeight="false" outlineLevel="0" collapsed="false">
      <c r="B7" s="5" t="s">
        <v>208</v>
      </c>
      <c r="C7" s="33" t="n">
        <f aca="false">'Trading Comps'!E22</f>
        <v>65.1448102176651</v>
      </c>
      <c r="D7" s="33" t="n">
        <f aca="false">'Trading Comps'!E25</f>
        <v>120.855549559273</v>
      </c>
      <c r="E7" s="33" t="n">
        <f aca="false">'Trading Comps'!E23</f>
        <v>88.9379384781436</v>
      </c>
    </row>
    <row r="8" customFormat="false" ht="15" hidden="false" customHeight="false" outlineLevel="0" collapsed="false">
      <c r="B8" s="5" t="s">
        <v>209</v>
      </c>
      <c r="C8" s="33" t="n">
        <f aca="false">'Precedent Transactions'!E27</f>
        <v>57.0203273970139</v>
      </c>
      <c r="D8" s="33" t="n">
        <f aca="false">'Precedent Transactions'!E29</f>
        <v>192.815254542184</v>
      </c>
      <c r="E8" s="33" t="n">
        <f aca="false">'Precedent Transactions'!E28</f>
        <v>138.265155603526</v>
      </c>
    </row>
    <row r="10" customFormat="false" ht="15" hidden="false" customHeight="false" outlineLevel="0" collapsed="false">
      <c r="B10" s="5" t="s">
        <v>116</v>
      </c>
      <c r="E10" s="33" t="n">
        <f aca="false">'Cover &amp; Assumptions'!C7</f>
        <v>86.41</v>
      </c>
    </row>
    <row r="12" customFormat="false" ht="15" hidden="false" customHeight="false" outlineLevel="0" collapsed="false">
      <c r="B12" s="12" t="s">
        <v>210</v>
      </c>
      <c r="C12" s="12"/>
      <c r="D12" s="12"/>
      <c r="E12" s="12"/>
      <c r="F12" s="12"/>
    </row>
    <row r="15" customFormat="false" ht="15" hidden="false" customHeight="false" outlineLevel="0" collapsed="false">
      <c r="B15" s="4" t="s">
        <v>211</v>
      </c>
      <c r="C15" s="4"/>
      <c r="D15" s="4"/>
      <c r="E15" s="4"/>
      <c r="F15" s="4"/>
    </row>
    <row r="16" customFormat="false" ht="15" hidden="false" customHeight="false" outlineLevel="0" collapsed="false">
      <c r="B16" s="46" t="s">
        <v>205</v>
      </c>
      <c r="C16" s="46" t="s">
        <v>212</v>
      </c>
      <c r="D16" s="46" t="s">
        <v>213</v>
      </c>
    </row>
    <row r="17" customFormat="false" ht="15" hidden="false" customHeight="false" outlineLevel="0" collapsed="false">
      <c r="B17" s="5" t="str">
        <f aca="false">B6</f>
        <v>DCF — Gordon Growth (sensitivity range)</v>
      </c>
      <c r="C17" s="47" t="n">
        <f aca="false">C6</f>
        <v>69.9166635272291</v>
      </c>
      <c r="D17" s="47" t="n">
        <f aca="false">D6-C6</f>
        <v>133.14424915066</v>
      </c>
    </row>
    <row r="18" customFormat="false" ht="15" hidden="false" customHeight="false" outlineLevel="0" collapsed="false">
      <c r="B18" s="5" t="str">
        <f aca="false">B7</f>
        <v>Trading Comps (EV/EBITDA)</v>
      </c>
      <c r="C18" s="47" t="n">
        <f aca="false">C7</f>
        <v>65.1448102176651</v>
      </c>
      <c r="D18" s="47" t="n">
        <f aca="false">D7-C7</f>
        <v>55.7107393416082</v>
      </c>
    </row>
    <row r="19" customFormat="false" ht="15" hidden="false" customHeight="false" outlineLevel="0" collapsed="false">
      <c r="B19" s="5" t="str">
        <f aca="false">B8</f>
        <v>Precedent Transactions (EV/EBITDA)</v>
      </c>
      <c r="C19" s="47" t="n">
        <f aca="false">C8</f>
        <v>57.0203273970139</v>
      </c>
      <c r="D19" s="47" t="n">
        <f aca="false">D8-C8</f>
        <v>135.79492714517</v>
      </c>
    </row>
  </sheetData>
  <mergeCells count="2">
    <mergeCell ref="B12:F12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2026-09-13T20:20:28Z</dcterms:created>
  <dc:creator>openpyxl</dc:creator>
  <dc:description/>
  <dc:language>en-US</dc:language>
  <cp:lastModifiedBy/>
  <dcterms:modified xsi:type="dcterms:W3CDTF">2026-09-13T20:20:30Z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